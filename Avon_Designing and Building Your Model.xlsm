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225" windowWidth="20730" windowHeight="9855" firstSheet="15" activeTab="22"/>
  </bookViews>
  <sheets>
    <sheet name="Figure 6-1" sheetId="1" r:id="rId1"/>
    <sheet name="Figure 6-2" sheetId="7" r:id="rId2"/>
    <sheet name="Figure 6-3" sheetId="4" r:id="rId3"/>
    <sheet name="Figure 6-4" sheetId="9" r:id="rId4"/>
    <sheet name="Figure 6-5" sheetId="10" r:id="rId5"/>
    <sheet name="Figure 6-6" sheetId="11" r:id="rId6"/>
    <sheet name="Figure 6-7" sheetId="13" r:id="rId7"/>
    <sheet name="Figure 6-8" sheetId="14" r:id="rId8"/>
    <sheet name="Figure 6-9" sheetId="15" r:id="rId9"/>
    <sheet name="Figure 6-10" sheetId="16" r:id="rId10"/>
    <sheet name="Figure 6-11" sheetId="17" r:id="rId11"/>
    <sheet name="Figure 6-12" sheetId="18" r:id="rId12"/>
    <sheet name="Figure 6-13" sheetId="19" r:id="rId13"/>
    <sheet name="Figure 6-14" sheetId="20" r:id="rId14"/>
    <sheet name="Figure 6-15" sheetId="21" r:id="rId15"/>
    <sheet name="Figure 6-18" sheetId="29" r:id="rId16"/>
    <sheet name="Figure 6-20" sheetId="24" r:id="rId17"/>
    <sheet name="Figure 6-21" sheetId="23" r:id="rId18"/>
    <sheet name="Figure 6-22" sheetId="25" r:id="rId19"/>
    <sheet name="Figure 6-23" sheetId="26" r:id="rId20"/>
    <sheet name="Figure 6-24" sheetId="27" r:id="rId21"/>
    <sheet name="Figure 6-25" sheetId="28" r:id="rId22"/>
    <sheet name="Figure 6-26" sheetId="22" r:id="rId23"/>
  </sheets>
  <externalReferences>
    <externalReference r:id="rId24"/>
  </externalReferences>
  <definedNames>
    <definedName name="_PLA2" localSheetId="7">'Figure 6-8'!$A$4</definedName>
    <definedName name="_PLA2">'Figure 6-7'!$A$4</definedName>
    <definedName name="Accounting" localSheetId="8">'Figure 6-9'!$C$144:$C$148</definedName>
    <definedName name="Accounting">'Figure 6-3'!$C$146:$C$150</definedName>
    <definedName name="Annual_Summary" localSheetId="5">'Figure 6-6'!$J$20:$FX$20</definedName>
    <definedName name="CapitalYears" localSheetId="8">'Figure 6-9'!$F$134:$F$137</definedName>
    <definedName name="CapitalYears">'Figure 6-3'!$F$136:$F$139</definedName>
    <definedName name="CompanyYear" localSheetId="5">'Figure 6-6'!$J$18:$FX$18</definedName>
    <definedName name="ContractDurationIn" localSheetId="8">'Figure 6-9'!$E$74</definedName>
    <definedName name="ContractDurationIn">'Figure 6-3'!$E$76</definedName>
    <definedName name="ContractEndDateIn" localSheetId="8">'Figure 6-9'!$E$77</definedName>
    <definedName name="ContractEndDateIn">'Figure 6-3'!$E$79</definedName>
    <definedName name="ContractStartDateIn" localSheetId="8">'Figure 6-9'!$E$76</definedName>
    <definedName name="ContractStartDateIn">'Figure 6-3'!$E$78</definedName>
    <definedName name="CostClass" localSheetId="8">'Figure 6-9'!$C$99:$C$101</definedName>
    <definedName name="CostClass">'Figure 6-3'!$C$101:$C$103</definedName>
    <definedName name="CostNAme" localSheetId="8">'Figure 6-9'!$C$170:$C$228</definedName>
    <definedName name="CostNAme">'Figure 6-3'!$C$172:$C$230</definedName>
    <definedName name="CostPhase" localSheetId="8">'Figure 6-9'!$C$31:$C$36</definedName>
    <definedName name="CostPhase">'Figure 6-3'!$C$33:$C$38</definedName>
    <definedName name="CostPhase_Switches" localSheetId="8">'Figure 6-9'!$H$31:$H$36</definedName>
    <definedName name="CostPhase_Switches">'Figure 6-3'!$H$33:$H$38</definedName>
    <definedName name="CostType" localSheetId="8">'Figure 6-9'!$C$43:$C$51</definedName>
    <definedName name="CostType">'Figure 6-3'!$C$45:$C$53</definedName>
    <definedName name="CostType_Switches" localSheetId="8">'Figure 6-9'!$H$43:$H$51</definedName>
    <definedName name="CostType_Switches">'Figure 6-3'!$H$45:$H$53</definedName>
    <definedName name="CU" localSheetId="8">'Figure 6-9'!$C$58:$C$67</definedName>
    <definedName name="CU">'Figure 6-3'!$C$60:$C$69</definedName>
    <definedName name="CUList" localSheetId="8">'Figure 6-9'!$F$100:$F$126</definedName>
    <definedName name="CUList">'Figure 6-3'!$F$102:$F$128</definedName>
    <definedName name="Currency" localSheetId="8">'Figure 6-9'!$F$89</definedName>
    <definedName name="Currency">'Figure 6-3'!$F$91</definedName>
    <definedName name="DateToMth" localSheetId="5">'Figure 6-6'!$AB$12:$EU$12</definedName>
    <definedName name="DinM" localSheetId="8">'Figure 6-9'!$F$92</definedName>
    <definedName name="DinM">'Figure 6-3'!$F$94</definedName>
    <definedName name="EndOfSheet" localSheetId="8">'Figure 6-9'!$F$88</definedName>
    <definedName name="EndOfSheet">'Figure 6-3'!$F$90</definedName>
    <definedName name="ErrTol" localSheetId="8">'Figure 6-9'!$F$93</definedName>
    <definedName name="ErrTol">'Figure 6-3'!$F$95</definedName>
    <definedName name="f_BAListMU" localSheetId="15">OFFSET(BATop,1,0,BABot,1)</definedName>
    <definedName name="f_BAListMU">OFFSET(BATop,1,0,BABot,1)</definedName>
    <definedName name="f_CCAListMU" localSheetId="15">OFFSET(CCATop,1,0,CCABot,1)</definedName>
    <definedName name="f_CCAListMU">OFFSET(CCATop,1,0,CCABot,1)</definedName>
    <definedName name="f_CCBListMU" localSheetId="15">OFFSET(CCBTop,1,0,CCBBot,1)</definedName>
    <definedName name="f_CCBListMU">OFFSET(CCBTop,1,0,CCBBot,1)</definedName>
    <definedName name="f_CCCListMU" localSheetId="15">OFFSET(CCCTop,1,0,CCCBot,1)</definedName>
    <definedName name="f_CCCListMU">OFFSET(CCCTop,1,0,CCCBot,1)</definedName>
    <definedName name="f_CCDListMU" localSheetId="15">OFFSET(CCDTop,1,0,CCDBot,1)</definedName>
    <definedName name="f_CCDListMU">OFFSET(CCDTop,1,0,CCDBot,1)</definedName>
    <definedName name="f_CCEListMU" localSheetId="15">OFFSET(CCETop,1,0,CCEBot,1)</definedName>
    <definedName name="f_CCEListMU">OFFSET(CCETop,1,0,CCEBot,1)</definedName>
    <definedName name="f_CCFListMU" localSheetId="15">OFFSET(CCFTop,1,0,CCFBot,1)</definedName>
    <definedName name="f_CCFListMU">OFFSET(CCFTop,1,0,CCFBot,1)</definedName>
    <definedName name="f_CCListMu" localSheetId="15">OFFSET(CCTop,1,0,CCBot,1)</definedName>
    <definedName name="f_CCListMu">OFFSET(CCTop,1,0,CCBot,1)</definedName>
    <definedName name="f_ChkCon">OR([1]Conversion!$FL1=1,[1]Conversion!$P1=0,[1]Conversion!$Q1=0)</definedName>
    <definedName name="f_CoListMU" localSheetId="15">OFFSET(CoTop,1,0,CoBot,1)</definedName>
    <definedName name="f_CoListMU">OFFSET(CoTop,1,0,CoBot,1)</definedName>
    <definedName name="f_CoMC01" localSheetId="15">IF(CoMON,_CoM02,1)</definedName>
    <definedName name="f_CoMC01">IF(CoMON,_CoM02,1)</definedName>
    <definedName name="f_CostDropMU" localSheetId="15">OFFSET(CosTop,1,0,CosBot,1)</definedName>
    <definedName name="f_CostDropMU">OFFSET(CosTop,1,0,CosBot,1)</definedName>
    <definedName name="f_CPListMU" localSheetId="15">OFFSET(CPTop,1,0,CPBot,1)</definedName>
    <definedName name="f_CPListMU">OFFSET(CPTop,1,0,CPBot,1)</definedName>
    <definedName name="f_CR2ListMU" localSheetId="10">OFFSET(CR2Top,1,0,CR2Bot,1)</definedName>
    <definedName name="f_CR2ListMU" localSheetId="11">OFFSET(CR2Top,1,0,CR2Bot,1)</definedName>
    <definedName name="f_CR2ListMU" localSheetId="12">OFFSET(CR2Top,1,0,CR2Bot,1)</definedName>
    <definedName name="f_CR2ListMU" localSheetId="14">OFFSET(CR2Top,1,0,CR2Bot,1)</definedName>
    <definedName name="f_CR2ListMU" localSheetId="15">OFFSET(CR2Top,1,0,CR2Bot,1)</definedName>
    <definedName name="f_CR2ListMU" localSheetId="7">OFFSET(CR2Top,1,0,CR2Bot,1)</definedName>
    <definedName name="f_CR2ListMU">OFFSET(CR2Top,1,0,CR2Bot,1)</definedName>
    <definedName name="f_CRListMU" localSheetId="15">OFFSET(CRTop,1,0,CRBot,1)</definedName>
    <definedName name="f_CRListMU">OFFSET(CRTop,1,0,CRBot,1)</definedName>
    <definedName name="f_CTListMU" localSheetId="15">OFFSET(CTTop,1,0,CTBot,1)</definedName>
    <definedName name="f_CTListMU">OFFSET(CTTop,1,0,CTBot,1)</definedName>
    <definedName name="f_CUListMU" localSheetId="15">OFFSET(CUTop,1,0,CUBot,1)</definedName>
    <definedName name="f_CUListMU">OFFSET(CUTop,1,0,CUBot,1)</definedName>
    <definedName name="f_CurCon" localSheetId="15">SUMIF(CurList,[1]Conversion!$Q1,[1]Constants!A$270:A$280)</definedName>
    <definedName name="f_CurCon">SUMIF(CurList,[1]Conversion!$Q1,[1]Constants!A$270:A$280)</definedName>
    <definedName name="f_CurListMU" localSheetId="15">OFFSET(CurTop,1,0,CurBot,1)</definedName>
    <definedName name="f_CurListMU">OFFSET(CurTop,1,0,CurBot,1)</definedName>
    <definedName name="f_CX2ListMU" localSheetId="10">OFFSET(CX2Top,1,0,CX2Bot,1)</definedName>
    <definedName name="f_CX2ListMU" localSheetId="11">OFFSET(CX2Top,1,0,CX2Bot,1)</definedName>
    <definedName name="f_CX2ListMU" localSheetId="12">OFFSET(CX2Top,1,0,CX2Bot,1)</definedName>
    <definedName name="f_CX2ListMU" localSheetId="14">OFFSET(CX2Top,1,0,CX2Bot,1)</definedName>
    <definedName name="f_CX2ListMU" localSheetId="15">OFFSET(CX2Top,1,0,CX2Bot,1)</definedName>
    <definedName name="f_CX2ListMU" localSheetId="7">OFFSET(CX2Top,1,0,CX2Bot,1)</definedName>
    <definedName name="f_CX2ListMU">OFFSET(CX2Top,1,0,CX2Bot,1)</definedName>
    <definedName name="f_CXListMU" localSheetId="15">OFFSET(CXTop,1,0,CXBot,1)</definedName>
    <definedName name="f_CXListMU">OFFSET(CXTop,1,0,CXBot,1)</definedName>
    <definedName name="f_De2ListMU" localSheetId="10">OFFSET(De2Top,1,0,De2Bot,1)</definedName>
    <definedName name="f_De2ListMU" localSheetId="11">OFFSET(De2Top,1,0,De2Bot,1)</definedName>
    <definedName name="f_De2ListMU" localSheetId="12">OFFSET(De2Top,1,0,De2Bot,1)</definedName>
    <definedName name="f_De2ListMU" localSheetId="14">OFFSET(De2Top,1,0,De2Bot,1)</definedName>
    <definedName name="f_De2ListMU" localSheetId="15">OFFSET(De2Top,1,0,De2Bot,1)</definedName>
    <definedName name="f_De2ListMU" localSheetId="7">OFFSET(De2Top,1,0,De2Bot,1)</definedName>
    <definedName name="f_De2ListMU">OFFSET(De2Top,1,0,De2Bot,1)</definedName>
    <definedName name="f_DeListMU" localSheetId="15">OFFSET(DeTop,1,0,DeBot,1)</definedName>
    <definedName name="f_DeListMU">OFFSET(DeTop,1,0,DeBot,1)</definedName>
    <definedName name="f_ESListMU" localSheetId="15">OFFSET(ESTop,1,0,ESBot,1)</definedName>
    <definedName name="f_ESListMU">OFFSET(ESTop,1,0,ESBot,1)</definedName>
    <definedName name="f_FiListMU" localSheetId="15">OFFSET(FiTop,1,0,FiBot,1)</definedName>
    <definedName name="f_FiListMU">OFFSET(FiTop,1,0,FiBot,1)</definedName>
    <definedName name="f_FinCalc" localSheetId="15">1+IF(FinON,'[1]Final Price'!$FJ1,0)</definedName>
    <definedName name="f_FinCalc">1+IF(FinON,'[1]Final Price'!$FJ1,0)</definedName>
    <definedName name="f_FoListMU" localSheetId="15">OFFSET(FoTop,1,0,FoBot,1)</definedName>
    <definedName name="f_FoListMU">OFFSET(FoTop,1,0,FoBot,1)</definedName>
    <definedName name="f_GMMar" localSheetId="15">1-IF(MargON,'[1]Cost Plus'!$FI1,0)</definedName>
    <definedName name="f_GMMar">1-IF(MargON,'[1]Cost Plus'!$FI1,0)</definedName>
    <definedName name="f_IndCon" localSheetId="15">1+IF(Indexed,SUMIF(InList,[1]Conversion!$EZ1,[1]Constants!A$533:A$548),0)</definedName>
    <definedName name="f_IndCon">1+IF(Indexed,SUMIF(InList,[1]Conversion!$EZ1,[1]Constants!A$533:A$548),0)</definedName>
    <definedName name="f_InListMU" localSheetId="15">OFFSET(InTop,1,0,InBot,1)</definedName>
    <definedName name="f_InListMU">OFFSET(InTop,1,0,InBot,1)</definedName>
    <definedName name="f_MilPro" localSheetId="15">SUMIF(ServList,'[1]Profile before CoM'!$V1,'[1]Customer Charges'!A$273:A$290)</definedName>
    <definedName name="f_MilPro">SUMIF(ServList,'[1]Profile before CoM'!$V1,'[1]Customer Charges'!A$273:A$290)</definedName>
    <definedName name="f_MultiCon">'[1]Main Input'!A1*[1]Conversion!$P1</definedName>
    <definedName name="f_OrListMU" localSheetId="15">OFFSET(OrTop,1,0,OrBot,1)</definedName>
    <definedName name="f_OrListMU">OFFSET(OrTop,1,0,OrBot,1)</definedName>
    <definedName name="f_PAListMU" localSheetId="15">OFFSET(PATop,1,0,PABot,1)</definedName>
    <definedName name="f_PAListMU">OFFSET(PATop,1,0,PABot,1)</definedName>
    <definedName name="f_PriceDropMU" localSheetId="15">OFFSET(PriTop,1,0,PriBot,1)</definedName>
    <definedName name="f_PriceDropMU">OFFSET(PriTop,1,0,PriBot,1)</definedName>
    <definedName name="f_RCListMU" localSheetId="15">OFFSET(RCTop,1,0,RCBot,1)</definedName>
    <definedName name="f_RCListMU">OFFSET(RCTop,1,0,RCBot,1)</definedName>
    <definedName name="f_ReListMU" localSheetId="15">OFFSET(ReTop,1,0,ReBot,1)</definedName>
    <definedName name="f_ReListMU">OFFSET(ReTop,1,0,ReBot,1)</definedName>
    <definedName name="f_ResVal" localSheetId="15">IF(DepreciationOn,SUMIF(ResList1,'[1]Cost Plus'!$FB1,[1]Capital!A$28:A$33),1)</definedName>
    <definedName name="f_ResVal">IF(DepreciationOn,SUMIF(ResList1,'[1]Cost Plus'!$FB1,[1]Capital!A$28:A$33),1)</definedName>
    <definedName name="f_RoListMU" localSheetId="15">OFFSET(RoTop,1,0,RoBot,1)</definedName>
    <definedName name="f_RoListMU">OFFSET(RoTop,1,0,RoBot,1)</definedName>
    <definedName name="f_RRListMU" localSheetId="15">OFFSET(RRTop,1,0,RRBot,1)</definedName>
    <definedName name="f_RRListMU">OFFSET(RRTop,1,0,RRBot,1)</definedName>
    <definedName name="f_SiListMU" localSheetId="15">OFFSET(SiTop,1,0,SiBot,1)</definedName>
    <definedName name="f_SiListMU">OFFSET(SiTop,1,0,SiBot,1)</definedName>
    <definedName name="f_SuListMU" localSheetId="15">OFFSET(SuTop,1,0,SuBot,1)</definedName>
    <definedName name="f_SuListMU">OFFSET(SuTop,1,0,SuBot,1)</definedName>
    <definedName name="f_SumCalc11">SUMIF([1]Conversion!$AF$5:$EY$5,[1]Conversion!A$4,[1]Conversion!$AF1:$EY1)</definedName>
    <definedName name="f_SumCalc12">SUMIF('[1]Cost Plus'!$AF$5:$EY$5,'[1]Cost Plus'!A$4,'[1]Cost Plus'!$AF1:$EY1)</definedName>
    <definedName name="f_SumCalc13">SUMIF('[1]Profile before CoM'!$AF$5:$EY$5,'[1]Profile before CoM'!A$4,'[1]Profile before CoM'!$AF1:$EY1)</definedName>
    <definedName name="f_SumCalc14">SUMIF('[1]Profile with CoM'!$AF$5:$EY$5,'[1]Profile with CoM'!A$4,'[1]Profile with CoM'!$AF1:$EY1)</definedName>
    <definedName name="f_SumCalc15">SUMIF([1]Capital!$AF$5:$EY$5,[1]Capital!A$5,[1]Capital!$AF1:$EY1)</definedName>
    <definedName name="f_SumCalc16">SUMIF('[1]Final Price'!$AF$5:$EY$5,'[1]Final Price'!A$4,'[1]Final Price'!$AF1:$EY1)</definedName>
    <definedName name="f_UC1ListMU" localSheetId="15">OFFSET(UC1Top,1,0,UC1Bot,1)</definedName>
    <definedName name="f_UC1ListMU">OFFSET(UC1Top,1,0,UC1Bot,1)</definedName>
    <definedName name="f_UC2ListMU" localSheetId="15">OFFSET(UC2Top,1,0,UC2Bot,1)</definedName>
    <definedName name="f_UC2ListMU">OFFSET(UC2Top,1,0,UC2Bot,1)</definedName>
    <definedName name="f_UC3ListMU" localSheetId="15">OFFSET(UC3Top,1,0,UC3Bot,1)</definedName>
    <definedName name="f_UC3ListMU">OFFSET(UC3Top,1,0,UC3Bot,1)</definedName>
    <definedName name="f_UnListMU" localSheetId="15">OFFSET(UnTop,1,0,UnBot,1)</definedName>
    <definedName name="f_UnListMU">OFFSET(UnTop,1,0,UnBot,1)</definedName>
    <definedName name="FromDate" localSheetId="5">'Figure 6-6'!$J$5:$FX$5</definedName>
    <definedName name="GMTable" localSheetId="8">'Figure 6-9'!$F$108:$F$117</definedName>
    <definedName name="GMTable">'Figure 6-3'!$F$110:$F$119</definedName>
    <definedName name="InBidName" localSheetId="8">'Figure 6-9'!$F$10</definedName>
    <definedName name="InBidName">'Figure 6-3'!$F$10</definedName>
    <definedName name="InBuinessUnit" localSheetId="8">'Figure 6-9'!$F$11</definedName>
    <definedName name="InBuinessUnit">'Figure 6-3'!$F$11</definedName>
    <definedName name="InClientName" localSheetId="8">'Figure 6-9'!$F$9</definedName>
    <definedName name="InClientName">'Figure 6-3'!$F$9</definedName>
    <definedName name="InCompanyYearEndDate" localSheetId="8">'Figure 6-9'!$F$23</definedName>
    <definedName name="InCompanyYearEndDate">'Figure 6-3'!$F$25</definedName>
    <definedName name="InCompanyYearStartDate" localSheetId="8">'Figure 6-9'!$F$22</definedName>
    <definedName name="InCompanyYearStartDate">'Figure 6-3'!$F$24</definedName>
    <definedName name="InContractDuration" localSheetId="8">'Figure 6-9'!$F$17</definedName>
    <definedName name="InContractDuration">'Figure 6-3'!$F$19</definedName>
    <definedName name="InContractEndDate" localSheetId="8">'Figure 6-9'!$F$20</definedName>
    <definedName name="InContractEndDate">'Figure 6-3'!$F$22</definedName>
    <definedName name="InContractStartDate" localSheetId="8">'Figure 6-9'!$F$19</definedName>
    <definedName name="InContractStartDate">'Figure 6-3'!$F$21</definedName>
    <definedName name="InIndustrySector" localSheetId="8">'Figure 6-9'!$F$12</definedName>
    <definedName name="InIndustrySector">'Figure 6-3'!$F$12</definedName>
    <definedName name="InPreContractPeriodDuration" localSheetId="8">'Figure 6-9'!$F$16</definedName>
    <definedName name="InPreContractPeriodDuration">'Figure 6-3'!$F$18</definedName>
    <definedName name="InPreContractStartDate" localSheetId="8">'Figure 6-9'!$F$25</definedName>
    <definedName name="InPreContractStartDate">'Figure 6-3'!$F$27</definedName>
    <definedName name="KMult" localSheetId="8">'Figure 6-9'!$F$94</definedName>
    <definedName name="KMult">'Figure 6-3'!$F$96</definedName>
    <definedName name="Margins" localSheetId="8">'Figure 6-9'!$C$108:$C$117</definedName>
    <definedName name="Margins">'Figure 6-3'!$C$110:$C$119</definedName>
    <definedName name="ModelStage" localSheetId="8">'Figure 6-9'!$C$235:$C$237</definedName>
    <definedName name="ModelStage">'Figure 6-3'!$C$237:$C$239</definedName>
    <definedName name="MonthListIn" localSheetId="5">'Figure 6-6'!$AB$6:$AM$6</definedName>
    <definedName name="MonthsYear" localSheetId="8">'Figure 6-9'!$F$91</definedName>
    <definedName name="MonthsYear">'Figure 6-3'!$F$93</definedName>
    <definedName name="P_A" localSheetId="8">'Figure 6-9'!$C$155:$C$163</definedName>
    <definedName name="P_A">'Figure 6-3'!$C$157:$C$165</definedName>
    <definedName name="PaymentType" localSheetId="8">'Figure 6-9'!$C$124:$C$127</definedName>
    <definedName name="PaymentType">'Figure 6-3'!$C$126:$C$129</definedName>
    <definedName name="PeriodCounter" localSheetId="5">'Figure 6-6'!$AB$15:$EU$15</definedName>
    <definedName name="PeriodNoMth" localSheetId="5">'Figure 6-6'!$AB$15:$EU$15</definedName>
    <definedName name="PLA2A" localSheetId="7">'Figure 6-8'!$A$1</definedName>
    <definedName name="PLA2A">'Figure 6-7'!$A$1</definedName>
    <definedName name="PreContractPeriodDuration" localSheetId="5">'Figure 6-6'!$D$4</definedName>
    <definedName name="PreContractPeriodDurationIn" localSheetId="8">'Figure 6-9'!$E$73</definedName>
    <definedName name="PreContractPeriodDurationIn">'Figure 6-3'!$E$75</definedName>
    <definedName name="_xlnm.Print_Area" localSheetId="6">'Figure 6-7'!$A$11:$N$37</definedName>
    <definedName name="_xlnm.Print_Area" localSheetId="7">'Figure 6-8'!$A$7:$I$19</definedName>
    <definedName name="_xlnm.Print_Titles" localSheetId="6">'Figure 6-7'!$1:$10</definedName>
    <definedName name="_xlnm.Print_Titles" localSheetId="7">'Figure 6-8'!$1:$6</definedName>
    <definedName name="RRList" localSheetId="8">'Figure 6-9'!$E$881:$E$886</definedName>
    <definedName name="RRList">'Figure 6-3'!$E$883:$E$888</definedName>
    <definedName name="ServiceLine" localSheetId="8">'Figure 6-9'!$C$74:$C$83</definedName>
    <definedName name="ServiceLine">'Figure 6-3'!$C$76:$C$85</definedName>
    <definedName name="ServiceLine_Switches" localSheetId="8">'Figure 6-9'!$H$74:$H$83</definedName>
    <definedName name="ServiceLine_Switches">'Figure 6-3'!$H$76:$H$85</definedName>
    <definedName name="TimeLines" localSheetId="5">'Figure 6-6'!$J$14:$FX$14</definedName>
    <definedName name="Value" localSheetId="8">'Figure 6-9'!$F$90</definedName>
    <definedName name="Value">'Figure 6-3'!$F$92</definedName>
    <definedName name="YearCounter" localSheetId="5">'Figure 6-6'!$AB$15:$EU$15</definedName>
    <definedName name="YearDesc" localSheetId="5">'Figure 6-6'!$J$23:$X$23</definedName>
  </definedNames>
  <calcPr calcId="144525"/>
</workbook>
</file>

<file path=xl/calcChain.xml><?xml version="1.0" encoding="utf-8"?>
<calcChain xmlns="http://schemas.openxmlformats.org/spreadsheetml/2006/main">
  <c r="C13" i="22" l="1"/>
  <c r="E13" i="22"/>
  <c r="F13" i="22"/>
  <c r="H13" i="22"/>
  <c r="H12" i="22" l="1"/>
  <c r="H11" i="22"/>
  <c r="H10" i="22"/>
  <c r="H9" i="22"/>
  <c r="H8" i="22"/>
  <c r="H7" i="22"/>
  <c r="H6" i="22"/>
  <c r="H5" i="22"/>
  <c r="E7" i="22"/>
  <c r="E8" i="22"/>
  <c r="E9" i="22"/>
  <c r="E10" i="22"/>
  <c r="E11" i="22"/>
  <c r="E12" i="22"/>
  <c r="E6" i="22"/>
  <c r="E5" i="22"/>
  <c r="U21" i="21" l="1"/>
  <c r="U22" i="21"/>
  <c r="U23" i="21"/>
  <c r="U24" i="21"/>
  <c r="U25" i="21"/>
  <c r="U26" i="21"/>
  <c r="R20" i="21" l="1"/>
  <c r="Q20" i="21"/>
  <c r="P20" i="21"/>
  <c r="O20" i="21"/>
  <c r="N20" i="21"/>
  <c r="M20" i="21"/>
  <c r="L20" i="21"/>
  <c r="K20" i="21"/>
  <c r="J20" i="21"/>
  <c r="I20" i="21"/>
  <c r="H20" i="21"/>
  <c r="G20" i="21"/>
  <c r="U20" i="21" s="1"/>
  <c r="R18" i="21"/>
  <c r="Q18" i="21"/>
  <c r="P18" i="21"/>
  <c r="O18" i="21"/>
  <c r="N18" i="21"/>
  <c r="M18" i="21"/>
  <c r="L18" i="21"/>
  <c r="K18" i="21"/>
  <c r="J18" i="21"/>
  <c r="I18" i="21"/>
  <c r="H18" i="21"/>
  <c r="G18" i="21"/>
  <c r="U18" i="21" s="1"/>
  <c r="H17" i="21"/>
  <c r="I17" i="21"/>
  <c r="J17" i="21"/>
  <c r="K17" i="21"/>
  <c r="L17" i="21"/>
  <c r="M17" i="21"/>
  <c r="N17" i="21"/>
  <c r="O17" i="21"/>
  <c r="P17" i="21"/>
  <c r="Q17" i="21"/>
  <c r="R17" i="21"/>
  <c r="G17" i="21"/>
  <c r="U17" i="21" s="1"/>
  <c r="R19" i="21"/>
  <c r="Q19" i="21"/>
  <c r="P19" i="21"/>
  <c r="O19" i="21"/>
  <c r="N19" i="21"/>
  <c r="M19" i="21"/>
  <c r="L19" i="21"/>
  <c r="K19" i="21"/>
  <c r="J19" i="21"/>
  <c r="I19" i="21"/>
  <c r="H19" i="21"/>
  <c r="G19" i="21"/>
  <c r="U19" i="21" s="1"/>
  <c r="H16" i="21"/>
  <c r="I16" i="21"/>
  <c r="J16" i="21"/>
  <c r="K16" i="21"/>
  <c r="L16" i="21"/>
  <c r="M16" i="21"/>
  <c r="N16" i="21"/>
  <c r="O16" i="21"/>
  <c r="P16" i="21"/>
  <c r="Q16" i="21"/>
  <c r="R16" i="21"/>
  <c r="G16" i="21"/>
  <c r="U16" i="21" s="1"/>
  <c r="U12" i="21" s="1"/>
  <c r="E1" i="21" s="1"/>
  <c r="C25" i="20"/>
  <c r="C23" i="20"/>
  <c r="C21" i="20"/>
  <c r="C19" i="20"/>
  <c r="C17" i="20"/>
  <c r="C15" i="20"/>
  <c r="C13" i="20"/>
  <c r="E9" i="20"/>
  <c r="C9" i="20" l="1"/>
  <c r="E13" i="19" l="1"/>
  <c r="F13" i="19"/>
  <c r="D13" i="19"/>
  <c r="L17" i="19"/>
  <c r="M17" i="19"/>
  <c r="K17" i="19"/>
  <c r="M28" i="19"/>
  <c r="L28" i="19"/>
  <c r="K28" i="19"/>
  <c r="M27" i="19"/>
  <c r="M29" i="19" s="1"/>
  <c r="L27" i="19"/>
  <c r="K27" i="19"/>
  <c r="M24" i="19"/>
  <c r="L24" i="19"/>
  <c r="K24" i="19"/>
  <c r="M23" i="19"/>
  <c r="M25" i="19" s="1"/>
  <c r="L23" i="19"/>
  <c r="K23" i="19"/>
  <c r="K25" i="19" s="1"/>
  <c r="M14" i="19"/>
  <c r="L14" i="19"/>
  <c r="K14" i="19"/>
  <c r="M13" i="19"/>
  <c r="M15" i="19" s="1"/>
  <c r="M18" i="19" s="1"/>
  <c r="L13" i="19"/>
  <c r="K13" i="19"/>
  <c r="K15" i="19" s="1"/>
  <c r="K18" i="19" s="1"/>
  <c r="M7" i="19"/>
  <c r="L7" i="19"/>
  <c r="K7" i="19"/>
  <c r="M6" i="19"/>
  <c r="L6" i="19"/>
  <c r="K6" i="19"/>
  <c r="G18" i="18"/>
  <c r="H18" i="18"/>
  <c r="F18" i="18"/>
  <c r="G16" i="18"/>
  <c r="H16" i="18"/>
  <c r="F16" i="18"/>
  <c r="G11" i="18"/>
  <c r="H11" i="18"/>
  <c r="F11" i="18"/>
  <c r="G6" i="18"/>
  <c r="H6" i="18"/>
  <c r="F6" i="18"/>
  <c r="H26" i="17"/>
  <c r="G26" i="17"/>
  <c r="F26" i="17"/>
  <c r="H25" i="17"/>
  <c r="G25" i="17"/>
  <c r="F25" i="17"/>
  <c r="H22" i="17"/>
  <c r="G22" i="17"/>
  <c r="F22" i="17"/>
  <c r="H21" i="17"/>
  <c r="H23" i="17" s="1"/>
  <c r="G21" i="17"/>
  <c r="F21" i="17"/>
  <c r="F23" i="17" s="1"/>
  <c r="H14" i="17"/>
  <c r="G14" i="17"/>
  <c r="F14" i="17"/>
  <c r="H13" i="17"/>
  <c r="H15" i="17" s="1"/>
  <c r="G13" i="17"/>
  <c r="F13" i="17"/>
  <c r="H7" i="17"/>
  <c r="G7" i="17"/>
  <c r="F7" i="17"/>
  <c r="H6" i="17"/>
  <c r="G6" i="17"/>
  <c r="F6" i="17"/>
  <c r="F8" i="17" s="1"/>
  <c r="F14" i="19" l="1"/>
  <c r="F15" i="19" s="1"/>
  <c r="L8" i="19"/>
  <c r="E8" i="19" s="1"/>
  <c r="E9" i="19" s="1"/>
  <c r="K8" i="19"/>
  <c r="D8" i="19" s="1"/>
  <c r="D9" i="19" s="1"/>
  <c r="L15" i="19"/>
  <c r="L18" i="19" s="1"/>
  <c r="L29" i="19"/>
  <c r="M8" i="19"/>
  <c r="F8" i="19" s="1"/>
  <c r="F9" i="19" s="1"/>
  <c r="K29" i="19"/>
  <c r="L25" i="19"/>
  <c r="G27" i="17"/>
  <c r="H27" i="17"/>
  <c r="G8" i="17"/>
  <c r="G15" i="17"/>
  <c r="F27" i="17"/>
  <c r="H8" i="17"/>
  <c r="F15" i="17"/>
  <c r="G23" i="17"/>
  <c r="C24" i="13"/>
  <c r="C22" i="13"/>
  <c r="D14" i="19" l="1"/>
  <c r="D15" i="19" s="1"/>
  <c r="F17" i="19"/>
  <c r="F20" i="19" s="1"/>
  <c r="D17" i="19"/>
  <c r="D20" i="19" s="1"/>
  <c r="E14" i="19"/>
  <c r="E15" i="19" s="1"/>
  <c r="E17" i="19" s="1"/>
  <c r="E20" i="19" s="1"/>
  <c r="M29" i="10"/>
  <c r="N29" i="10"/>
  <c r="L29" i="10"/>
  <c r="M27" i="10"/>
  <c r="N27" i="10"/>
  <c r="L27" i="10"/>
  <c r="M23" i="10"/>
  <c r="L23" i="10"/>
  <c r="L21" i="10"/>
  <c r="L19" i="10"/>
  <c r="E26" i="10"/>
  <c r="F26" i="10" s="1"/>
  <c r="N23" i="10" s="1"/>
  <c r="E23" i="10"/>
  <c r="M21" i="10" s="1"/>
  <c r="E20" i="10"/>
  <c r="M19" i="10" s="1"/>
  <c r="N12" i="10"/>
  <c r="N11" i="10"/>
  <c r="M12" i="10"/>
  <c r="M11" i="10"/>
  <c r="L12" i="10"/>
  <c r="L15" i="10" s="1"/>
  <c r="L11" i="10"/>
  <c r="L13" i="10" s="1"/>
  <c r="M10" i="10" s="1"/>
  <c r="L8" i="10"/>
  <c r="M6" i="10"/>
  <c r="M8" i="10" s="1"/>
  <c r="N6" i="10"/>
  <c r="L6" i="10"/>
  <c r="M7" i="10"/>
  <c r="N7" i="10"/>
  <c r="N8" i="10" s="1"/>
  <c r="L7" i="10"/>
  <c r="M26" i="9"/>
  <c r="N26" i="9"/>
  <c r="O26" i="9"/>
  <c r="N25" i="9"/>
  <c r="N27" i="9" s="1"/>
  <c r="O25" i="9"/>
  <c r="O27" i="9" s="1"/>
  <c r="M25" i="9"/>
  <c r="M22" i="9"/>
  <c r="N22" i="9"/>
  <c r="O22" i="9"/>
  <c r="N21" i="9"/>
  <c r="N23" i="9" s="1"/>
  <c r="O21" i="9"/>
  <c r="O23" i="9" s="1"/>
  <c r="M21" i="9"/>
  <c r="M23" i="9" s="1"/>
  <c r="M7" i="9"/>
  <c r="N7" i="9"/>
  <c r="O7" i="9"/>
  <c r="O8" i="9" s="1"/>
  <c r="N6" i="9"/>
  <c r="O6" i="9"/>
  <c r="M6" i="9"/>
  <c r="M8" i="9" s="1"/>
  <c r="M14" i="9"/>
  <c r="N14" i="9"/>
  <c r="O14" i="9"/>
  <c r="N13" i="9"/>
  <c r="N15" i="9" s="1"/>
  <c r="O13" i="9"/>
  <c r="O15" i="9" s="1"/>
  <c r="M13" i="9"/>
  <c r="M15" i="10" l="1"/>
  <c r="M13" i="10"/>
  <c r="N10" i="10" s="1"/>
  <c r="F23" i="10"/>
  <c r="N21" i="10" s="1"/>
  <c r="F20" i="10"/>
  <c r="N19" i="10" s="1"/>
  <c r="N8" i="9"/>
  <c r="M15" i="9"/>
  <c r="M27" i="9"/>
  <c r="N15" i="10" l="1"/>
  <c r="N13" i="10"/>
</calcChain>
</file>

<file path=xl/comments1.xml><?xml version="1.0" encoding="utf-8"?>
<comments xmlns="http://schemas.openxmlformats.org/spreadsheetml/2006/main">
  <authors>
    <author>John Brotherton</author>
  </authors>
  <commentList>
    <comment ref="F32" authorId="0">
      <text>
        <r>
          <rPr>
            <b/>
            <sz val="8"/>
            <color indexed="81"/>
            <rFont val="Tahoma"/>
            <family val="2"/>
          </rPr>
          <t xml:space="preserve">RANGE
</t>
        </r>
        <r>
          <rPr>
            <sz val="8"/>
            <color indexed="81"/>
            <rFont val="Tahoma"/>
            <family val="2"/>
          </rPr>
          <t>Top of Code List.</t>
        </r>
      </text>
    </comment>
    <comment ref="B58" authorId="0">
      <text>
        <r>
          <rPr>
            <b/>
            <sz val="8"/>
            <color indexed="81"/>
            <rFont val="Tahoma"/>
            <family val="2"/>
          </rPr>
          <t xml:space="preserve">TITLE
</t>
        </r>
        <r>
          <rPr>
            <sz val="8"/>
            <color indexed="81"/>
            <rFont val="Tahoma"/>
            <family val="2"/>
          </rPr>
          <t>Used throughout the model.</t>
        </r>
      </text>
    </comment>
    <comment ref="G59" authorId="0">
      <text>
        <r>
          <rPr>
            <b/>
            <sz val="8"/>
            <color indexed="81"/>
            <rFont val="Tahoma"/>
            <family val="2"/>
          </rPr>
          <t xml:space="preserve">RANGE
</t>
        </r>
        <r>
          <rPr>
            <sz val="8"/>
            <color indexed="81"/>
            <rFont val="Tahoma"/>
            <family val="2"/>
          </rPr>
          <t>Top of Code List.</t>
        </r>
      </text>
    </comment>
    <comment ref="B124" authorId="0">
      <text>
        <r>
          <rPr>
            <b/>
            <sz val="8"/>
            <color indexed="81"/>
            <rFont val="Tahoma"/>
            <family val="2"/>
          </rPr>
          <t xml:space="preserve">TITLE
</t>
        </r>
        <r>
          <rPr>
            <sz val="8"/>
            <color indexed="81"/>
            <rFont val="Tahoma"/>
            <family val="2"/>
          </rPr>
          <t>Used throughout the model.</t>
        </r>
      </text>
    </comment>
    <comment ref="F125" authorId="0">
      <text>
        <r>
          <rPr>
            <b/>
            <sz val="8"/>
            <color indexed="81"/>
            <rFont val="Tahoma"/>
            <family val="2"/>
          </rPr>
          <t xml:space="preserve">RANGE
</t>
        </r>
        <r>
          <rPr>
            <sz val="8"/>
            <color indexed="81"/>
            <rFont val="Tahoma"/>
            <family val="2"/>
          </rPr>
          <t>Mandatory Field. Top of Code List.</t>
        </r>
      </text>
    </comment>
    <comment ref="B134" authorId="0">
      <text>
        <r>
          <rPr>
            <b/>
            <sz val="8"/>
            <color indexed="81"/>
            <rFont val="Tahoma"/>
            <family val="2"/>
          </rPr>
          <t xml:space="preserve">TITLE
</t>
        </r>
        <r>
          <rPr>
            <sz val="8"/>
            <color indexed="81"/>
            <rFont val="Tahoma"/>
            <family val="2"/>
          </rPr>
          <t>Used throughout the model.</t>
        </r>
      </text>
    </comment>
    <comment ref="F135" authorId="0">
      <text>
        <r>
          <rPr>
            <b/>
            <sz val="8"/>
            <color indexed="81"/>
            <rFont val="Tahoma"/>
            <family val="2"/>
          </rPr>
          <t xml:space="preserve">RANGE
</t>
        </r>
        <r>
          <rPr>
            <sz val="8"/>
            <color indexed="81"/>
            <rFont val="Tahoma"/>
            <family val="2"/>
          </rPr>
          <t>Mandatory Field. Top of Code List.</t>
        </r>
      </text>
    </comment>
  </commentList>
</comments>
</file>

<file path=xl/comments2.xml><?xml version="1.0" encoding="utf-8"?>
<comments xmlns="http://schemas.openxmlformats.org/spreadsheetml/2006/main">
  <authors>
    <author>John Brotherton</author>
  </authors>
  <commentList>
    <comment ref="F30" authorId="0">
      <text>
        <r>
          <rPr>
            <b/>
            <sz val="8"/>
            <color indexed="81"/>
            <rFont val="Tahoma"/>
            <family val="2"/>
          </rPr>
          <t xml:space="preserve">RANGE
</t>
        </r>
        <r>
          <rPr>
            <sz val="8"/>
            <color indexed="81"/>
            <rFont val="Tahoma"/>
            <family val="2"/>
          </rPr>
          <t>Top of Code List.</t>
        </r>
      </text>
    </comment>
    <comment ref="B56" authorId="0">
      <text>
        <r>
          <rPr>
            <b/>
            <sz val="8"/>
            <color indexed="81"/>
            <rFont val="Tahoma"/>
            <family val="2"/>
          </rPr>
          <t xml:space="preserve">TITLE
</t>
        </r>
        <r>
          <rPr>
            <sz val="8"/>
            <color indexed="81"/>
            <rFont val="Tahoma"/>
            <family val="2"/>
          </rPr>
          <t>Used throughout the model.</t>
        </r>
      </text>
    </comment>
    <comment ref="G57" authorId="0">
      <text>
        <r>
          <rPr>
            <b/>
            <sz val="8"/>
            <color indexed="81"/>
            <rFont val="Tahoma"/>
            <family val="2"/>
          </rPr>
          <t xml:space="preserve">RANGE
</t>
        </r>
        <r>
          <rPr>
            <sz val="8"/>
            <color indexed="81"/>
            <rFont val="Tahoma"/>
            <family val="2"/>
          </rPr>
          <t>Top of Code List.</t>
        </r>
      </text>
    </comment>
    <comment ref="B122" authorId="0">
      <text>
        <r>
          <rPr>
            <b/>
            <sz val="8"/>
            <color indexed="81"/>
            <rFont val="Tahoma"/>
            <family val="2"/>
          </rPr>
          <t xml:space="preserve">TITLE
</t>
        </r>
        <r>
          <rPr>
            <sz val="8"/>
            <color indexed="81"/>
            <rFont val="Tahoma"/>
            <family val="2"/>
          </rPr>
          <t>Used throughout the model.</t>
        </r>
      </text>
    </comment>
    <comment ref="F123" authorId="0">
      <text>
        <r>
          <rPr>
            <b/>
            <sz val="8"/>
            <color indexed="81"/>
            <rFont val="Tahoma"/>
            <family val="2"/>
          </rPr>
          <t xml:space="preserve">RANGE
</t>
        </r>
        <r>
          <rPr>
            <sz val="8"/>
            <color indexed="81"/>
            <rFont val="Tahoma"/>
            <family val="2"/>
          </rPr>
          <t>Mandatory Field. Top of Code List.</t>
        </r>
      </text>
    </comment>
    <comment ref="B132" authorId="0">
      <text>
        <r>
          <rPr>
            <b/>
            <sz val="8"/>
            <color indexed="81"/>
            <rFont val="Tahoma"/>
            <family val="2"/>
          </rPr>
          <t xml:space="preserve">TITLE
</t>
        </r>
        <r>
          <rPr>
            <sz val="8"/>
            <color indexed="81"/>
            <rFont val="Tahoma"/>
            <family val="2"/>
          </rPr>
          <t>Used throughout the model.</t>
        </r>
      </text>
    </comment>
    <comment ref="F133" authorId="0">
      <text>
        <r>
          <rPr>
            <b/>
            <sz val="8"/>
            <color indexed="81"/>
            <rFont val="Tahoma"/>
            <family val="2"/>
          </rPr>
          <t xml:space="preserve">RANGE
</t>
        </r>
        <r>
          <rPr>
            <sz val="8"/>
            <color indexed="81"/>
            <rFont val="Tahoma"/>
            <family val="2"/>
          </rPr>
          <t>Mandatory Field. Top of Code List.</t>
        </r>
      </text>
    </comment>
  </commentList>
</comments>
</file>

<file path=xl/sharedStrings.xml><?xml version="1.0" encoding="utf-8"?>
<sst xmlns="http://schemas.openxmlformats.org/spreadsheetml/2006/main" count="2863" uniqueCount="632">
  <si>
    <t>Error Checks</t>
  </si>
  <si>
    <t>Bid Details</t>
  </si>
  <si>
    <t>Client Name</t>
  </si>
  <si>
    <t>InClientName</t>
  </si>
  <si>
    <t>Bid Name</t>
  </si>
  <si>
    <t>InBidName</t>
  </si>
  <si>
    <t>Business Unit</t>
  </si>
  <si>
    <t>InBuinessUnit</t>
  </si>
  <si>
    <t>Industry Sector</t>
  </si>
  <si>
    <t>InIndustrySector</t>
  </si>
  <si>
    <t>Model populated by</t>
  </si>
  <si>
    <t>Are Solution costs approved?</t>
  </si>
  <si>
    <t>Funding Solutions costs approved?</t>
  </si>
  <si>
    <t>Bid &amp; Contract Dates</t>
  </si>
  <si>
    <t>No of Months pre contract</t>
  </si>
  <si>
    <t>InPreContractPeriodDuration</t>
  </si>
  <si>
    <t>No of Months to cost (excl pre-contract)</t>
  </si>
  <si>
    <t>InContractDuration</t>
  </si>
  <si>
    <t>Contract Start Date</t>
  </si>
  <si>
    <t>InContractStartDate</t>
  </si>
  <si>
    <t>Contract End Date</t>
  </si>
  <si>
    <t>InContractEndDate</t>
  </si>
  <si>
    <t>Company Year Start Date</t>
  </si>
  <si>
    <t>InCompanyYearStartDate</t>
  </si>
  <si>
    <t>Company Year End Date</t>
  </si>
  <si>
    <t>InCompanyYearEndDate</t>
  </si>
  <si>
    <t>Pre Contract Start Date</t>
  </si>
  <si>
    <t>InPreContractStartDate</t>
  </si>
  <si>
    <t>Cost Phase</t>
  </si>
  <si>
    <t>Description</t>
  </si>
  <si>
    <t>Short Code</t>
  </si>
  <si>
    <t>Long Code</t>
  </si>
  <si>
    <t>Switches</t>
  </si>
  <si>
    <t>Phase 1</t>
  </si>
  <si>
    <t>TRA</t>
  </si>
  <si>
    <t>Transition</t>
  </si>
  <si>
    <t>Y</t>
  </si>
  <si>
    <t>Phase 2</t>
  </si>
  <si>
    <t>TRF</t>
  </si>
  <si>
    <t>Transformation</t>
  </si>
  <si>
    <t>Phase 3</t>
  </si>
  <si>
    <t>TFR</t>
  </si>
  <si>
    <t>Transfer</t>
  </si>
  <si>
    <t>Phase 4</t>
  </si>
  <si>
    <t>ASIS</t>
  </si>
  <si>
    <t>As Is</t>
  </si>
  <si>
    <t>Phase 5</t>
  </si>
  <si>
    <t>TOBE</t>
  </si>
  <si>
    <t>To Be</t>
  </si>
  <si>
    <t>Exit</t>
  </si>
  <si>
    <t>EXT</t>
  </si>
  <si>
    <t>CostPhase</t>
  </si>
  <si>
    <t>Cost Type</t>
  </si>
  <si>
    <t>Contingency</t>
  </si>
  <si>
    <t>C</t>
  </si>
  <si>
    <t>Hardware</t>
  </si>
  <si>
    <t>H</t>
  </si>
  <si>
    <t>Premises</t>
  </si>
  <si>
    <t>HM</t>
  </si>
  <si>
    <t>Hardware Maint</t>
  </si>
  <si>
    <t>Transport</t>
  </si>
  <si>
    <t>I</t>
  </si>
  <si>
    <t>Infrastructure</t>
  </si>
  <si>
    <t>Labour</t>
  </si>
  <si>
    <t>L</t>
  </si>
  <si>
    <t>Admin</t>
  </si>
  <si>
    <t>N</t>
  </si>
  <si>
    <t>Data Network</t>
  </si>
  <si>
    <t>Other</t>
  </si>
  <si>
    <t>O</t>
  </si>
  <si>
    <t>Pass through</t>
  </si>
  <si>
    <t>P</t>
  </si>
  <si>
    <t>Third Party</t>
  </si>
  <si>
    <t>TP</t>
  </si>
  <si>
    <t>CostType</t>
  </si>
  <si>
    <t>Capability Units</t>
  </si>
  <si>
    <t>CU Name</t>
  </si>
  <si>
    <t>Highways</t>
  </si>
  <si>
    <t>Hi</t>
  </si>
  <si>
    <t>Property</t>
  </si>
  <si>
    <t>Pr</t>
  </si>
  <si>
    <t>Revs &amp; bens</t>
  </si>
  <si>
    <t>RB</t>
  </si>
  <si>
    <t>Contact Centre</t>
  </si>
  <si>
    <t>CC</t>
  </si>
  <si>
    <t>Exchequer</t>
  </si>
  <si>
    <t>Ex</t>
  </si>
  <si>
    <t>Management</t>
  </si>
  <si>
    <t>Ma</t>
  </si>
  <si>
    <t>PC</t>
  </si>
  <si>
    <t>Pc</t>
  </si>
  <si>
    <t>Projects</t>
  </si>
  <si>
    <t>Capital</t>
  </si>
  <si>
    <t>Ca</t>
  </si>
  <si>
    <t>CU</t>
  </si>
  <si>
    <t>CUList</t>
  </si>
  <si>
    <t>Service Line</t>
  </si>
  <si>
    <t>SL Name</t>
  </si>
  <si>
    <t>ServiceLine</t>
  </si>
  <si>
    <t>Miscellaneous</t>
  </si>
  <si>
    <t>End of Sheet marker</t>
  </si>
  <si>
    <t>END</t>
  </si>
  <si>
    <t>EndOfSheet</t>
  </si>
  <si>
    <t>Currency</t>
  </si>
  <si>
    <t>Sterling</t>
  </si>
  <si>
    <t>Column heading for Value</t>
  </si>
  <si>
    <t>GBP</t>
  </si>
  <si>
    <t>Value</t>
  </si>
  <si>
    <t>Months in a Year</t>
  </si>
  <si>
    <t>MonthsYear</t>
  </si>
  <si>
    <t>Average days/month (Payment Terms)</t>
  </si>
  <si>
    <t>DinM</t>
  </si>
  <si>
    <t>ErrTol</t>
  </si>
  <si>
    <t>Multiplier (eg. ErrTol as a %)</t>
  </si>
  <si>
    <t>KMult</t>
  </si>
  <si>
    <t>Cost Class</t>
  </si>
  <si>
    <t>Class</t>
  </si>
  <si>
    <t>Person</t>
  </si>
  <si>
    <t>Asset</t>
  </si>
  <si>
    <t>CostClass</t>
  </si>
  <si>
    <t>Margins</t>
  </si>
  <si>
    <t>Margin Codes</t>
  </si>
  <si>
    <t>%GM</t>
  </si>
  <si>
    <t>Opex</t>
  </si>
  <si>
    <t>Hurdle</t>
  </si>
  <si>
    <t>Checks</t>
  </si>
  <si>
    <t>Salaries</t>
  </si>
  <si>
    <t>Relocation</t>
  </si>
  <si>
    <t>Training</t>
  </si>
  <si>
    <t>Recruitments</t>
  </si>
  <si>
    <t>Car Parking</t>
  </si>
  <si>
    <t>Supplies &amp; Services</t>
  </si>
  <si>
    <t>GMTable</t>
  </si>
  <si>
    <t>OpexTable</t>
  </si>
  <si>
    <t>HurdleRates</t>
  </si>
  <si>
    <t>Payment</t>
  </si>
  <si>
    <t>Payment Type</t>
  </si>
  <si>
    <t>Days</t>
  </si>
  <si>
    <t>Periods</t>
  </si>
  <si>
    <t>Type A</t>
  </si>
  <si>
    <t>A</t>
  </si>
  <si>
    <t>&lt;30</t>
  </si>
  <si>
    <t>Type B</t>
  </si>
  <si>
    <t>B</t>
  </si>
  <si>
    <t>Type C</t>
  </si>
  <si>
    <t>Type D</t>
  </si>
  <si>
    <t>D</t>
  </si>
  <si>
    <t>PaymentType</t>
  </si>
  <si>
    <t>Capital Life of Assets</t>
  </si>
  <si>
    <t>Capital Life</t>
  </si>
  <si>
    <t>Years</t>
  </si>
  <si>
    <t>Months</t>
  </si>
  <si>
    <t>3 Years</t>
  </si>
  <si>
    <t>5 Years</t>
  </si>
  <si>
    <t>7 Years</t>
  </si>
  <si>
    <t>10 Years</t>
  </si>
  <si>
    <t>CapitalYears</t>
  </si>
  <si>
    <t>Accounting</t>
  </si>
  <si>
    <t>Accounting treatment</t>
  </si>
  <si>
    <t>Expensed</t>
  </si>
  <si>
    <t>Finance Lease</t>
  </si>
  <si>
    <t>Prepayment</t>
  </si>
  <si>
    <t>Accrual</t>
  </si>
  <si>
    <t>Fixed Asset</t>
  </si>
  <si>
    <t>Acccounting</t>
  </si>
  <si>
    <t>Prepayments &amp; Accrual</t>
  </si>
  <si>
    <t>Prepayments</t>
  </si>
  <si>
    <t>Contract Prepayment</t>
  </si>
  <si>
    <t>Annual Prepayment</t>
  </si>
  <si>
    <t>Six-Monthly Prepayment</t>
  </si>
  <si>
    <t>Quarterly Prepayment</t>
  </si>
  <si>
    <t>Contract Accrual</t>
  </si>
  <si>
    <t>Annual Accrual</t>
  </si>
  <si>
    <t>Six-Monthly Accrual</t>
  </si>
  <si>
    <t>Quarterly Accrual</t>
  </si>
  <si>
    <t>P_A</t>
  </si>
  <si>
    <t>Cost Name</t>
  </si>
  <si>
    <t>National Insurance</t>
  </si>
  <si>
    <t>Superannuation</t>
  </si>
  <si>
    <t>Temporary Staff</t>
  </si>
  <si>
    <t>Consultants Fees</t>
  </si>
  <si>
    <t>Support 1 Agency Staff</t>
  </si>
  <si>
    <t>Agency Staff</t>
  </si>
  <si>
    <t>Relocation Expenses</t>
  </si>
  <si>
    <t>Training Expenses</t>
  </si>
  <si>
    <t>Staff Recruitment Advertising</t>
  </si>
  <si>
    <t>Employee Insurance</t>
  </si>
  <si>
    <t>Car Parking Essential Users</t>
  </si>
  <si>
    <t>Other Employee Expenses</t>
  </si>
  <si>
    <t>Unitary Payment Charge</t>
  </si>
  <si>
    <t>Recharged Services</t>
  </si>
  <si>
    <t>Non-UPC</t>
  </si>
  <si>
    <t>External income - Schools</t>
  </si>
  <si>
    <t>Rents</t>
  </si>
  <si>
    <t>Oldham - non UPC income</t>
  </si>
  <si>
    <t>External income</t>
  </si>
  <si>
    <t>Repairs &amp; Maintenance</t>
  </si>
  <si>
    <t>Hired Transport</t>
  </si>
  <si>
    <t>Public Transport</t>
  </si>
  <si>
    <t>Public Transport (admin staff)</t>
  </si>
  <si>
    <t>Car Hire &amp; Public Transport</t>
  </si>
  <si>
    <t>Car Allowances</t>
  </si>
  <si>
    <t>Admin Equipment inc Furn</t>
  </si>
  <si>
    <t>Operational Equipment</t>
  </si>
  <si>
    <t>Protective Clothing &amp; Footwear</t>
  </si>
  <si>
    <t>Central Printing</t>
  </si>
  <si>
    <t>Other Printing Charges</t>
  </si>
  <si>
    <t>Photocopying Expenses</t>
  </si>
  <si>
    <t>Stationery</t>
  </si>
  <si>
    <t>Journals, Newspapers etc</t>
  </si>
  <si>
    <t>Other Office Expenses</t>
  </si>
  <si>
    <t>Corporate Security</t>
  </si>
  <si>
    <t>Professional Fees</t>
  </si>
  <si>
    <t>Payments to Contractors</t>
  </si>
  <si>
    <t>Other Services</t>
  </si>
  <si>
    <t>Postage</t>
  </si>
  <si>
    <t>Telephones</t>
  </si>
  <si>
    <t>Computer Maintenance</t>
  </si>
  <si>
    <t>Computer Equipment acquisition cost</t>
  </si>
  <si>
    <t>Subsistence Expenses</t>
  </si>
  <si>
    <t>Conference Expenses</t>
  </si>
  <si>
    <t>Corporate Subscriptions</t>
  </si>
  <si>
    <t>Miscellaneous Insurance</t>
  </si>
  <si>
    <t>Advertising &amp; Publicity</t>
  </si>
  <si>
    <t>Advertising &amp; Publicity non-exempt</t>
  </si>
  <si>
    <t>Support Services Operating Lease rental</t>
  </si>
  <si>
    <t>Other Expenses</t>
  </si>
  <si>
    <t>Inflation</t>
  </si>
  <si>
    <t>Depreciation</t>
  </si>
  <si>
    <t>CostName</t>
  </si>
  <si>
    <t>ModelStage</t>
  </si>
  <si>
    <t>Day1</t>
  </si>
  <si>
    <t>AsIs</t>
  </si>
  <si>
    <t>ToBe</t>
  </si>
  <si>
    <t>NoSuch Model</t>
  </si>
  <si>
    <t>Worksheet (Module)</t>
  </si>
  <si>
    <t>Type</t>
  </si>
  <si>
    <t>Model Fixed Inputs</t>
  </si>
  <si>
    <t>Model Variable Inputs</t>
  </si>
  <si>
    <t>Time related Inputs</t>
  </si>
  <si>
    <t>Inputs</t>
  </si>
  <si>
    <t>Workings</t>
  </si>
  <si>
    <t>Report 1</t>
  </si>
  <si>
    <t>Report 2</t>
  </si>
  <si>
    <t>Calculations</t>
  </si>
  <si>
    <t>Outputs</t>
  </si>
  <si>
    <t>Assumptions register</t>
  </si>
  <si>
    <t>Data Flow</t>
  </si>
  <si>
    <t>Model information</t>
  </si>
  <si>
    <t>Change Control</t>
  </si>
  <si>
    <t>Model Integrity and Stability</t>
  </si>
  <si>
    <t>Specifications Approved?</t>
  </si>
  <si>
    <t>Has Formula?</t>
  </si>
  <si>
    <t>User Interaction</t>
  </si>
  <si>
    <t>Yes</t>
  </si>
  <si>
    <t>Pending</t>
  </si>
  <si>
    <t>Not required</t>
  </si>
  <si>
    <t>None</t>
  </si>
  <si>
    <t>Full</t>
  </si>
  <si>
    <t>Partial</t>
  </si>
  <si>
    <t>Links</t>
  </si>
  <si>
    <t>Year 1</t>
  </si>
  <si>
    <t>Year 2</t>
  </si>
  <si>
    <t>Year 3</t>
  </si>
  <si>
    <t>Year 4</t>
  </si>
  <si>
    <t>Cash balance b/f</t>
  </si>
  <si>
    <t>Cash inflows</t>
  </si>
  <si>
    <t>Core Receipts</t>
  </si>
  <si>
    <t>Total cash inflows</t>
  </si>
  <si>
    <t>Cash outflows</t>
  </si>
  <si>
    <t>Direct delivery:</t>
  </si>
  <si>
    <t>Staff costs</t>
  </si>
  <si>
    <t>Materials &amp; subcontractors</t>
  </si>
  <si>
    <t>Other costs</t>
  </si>
  <si>
    <t xml:space="preserve">ICT </t>
  </si>
  <si>
    <t>Mobilisation</t>
  </si>
  <si>
    <t>Overhead recovery</t>
  </si>
  <si>
    <t>Total operational cash outflows</t>
  </si>
  <si>
    <t>Cash movement in period before Int. &amp; Tax</t>
  </si>
  <si>
    <t>Interest - Paid/(Received)</t>
  </si>
  <si>
    <t>VAT</t>
  </si>
  <si>
    <t>Cash balance c/f</t>
  </si>
  <si>
    <t>Revenues</t>
  </si>
  <si>
    <t>Number of staff</t>
  </si>
  <si>
    <t>Materials</t>
  </si>
  <si>
    <t>Sub-contractor hours</t>
  </si>
  <si>
    <t>Hourly rate</t>
  </si>
  <si>
    <t>Materials in kgs</t>
  </si>
  <si>
    <t>Materials cost per kg</t>
  </si>
  <si>
    <t>Cashflow statement 3 years</t>
  </si>
  <si>
    <t>Total</t>
  </si>
  <si>
    <t>Top-Down Approach</t>
  </si>
  <si>
    <t>Grade 1 Staff</t>
  </si>
  <si>
    <t>Grade 2 Staff</t>
  </si>
  <si>
    <t>Actual salary</t>
  </si>
  <si>
    <t>Units Purchased</t>
  </si>
  <si>
    <t>Units Sold from Stock</t>
  </si>
  <si>
    <t>Units sold direct from purchases</t>
  </si>
  <si>
    <t>Selling Price from purchases</t>
  </si>
  <si>
    <t>Units moved to stock</t>
  </si>
  <si>
    <t>Units in Stock</t>
  </si>
  <si>
    <t>Selling price from Stock</t>
  </si>
  <si>
    <t>Purchase price</t>
  </si>
  <si>
    <t>Total Purchase costs</t>
  </si>
  <si>
    <t>Units in Stock B/F</t>
  </si>
  <si>
    <t>Unit in stock C/F</t>
  </si>
  <si>
    <t>Units moved into stock</t>
  </si>
  <si>
    <t>Units leaving stock</t>
  </si>
  <si>
    <t>Total sold from stock</t>
  </si>
  <si>
    <t>Stock</t>
  </si>
  <si>
    <t>Grade 3 Staff</t>
  </si>
  <si>
    <t>Sub-contractor cost</t>
  </si>
  <si>
    <t>Materials cost</t>
  </si>
  <si>
    <t>Bottom -Up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</si>
  <si>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</si>
  <si>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</si>
  <si>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</si>
  <si>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</si>
  <si>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</si>
  <si>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</si>
  <si>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</si>
  <si>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</si>
  <si>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</si>
  <si>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</si>
  <si>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</si>
  <si>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</si>
  <si>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From</t>
  </si>
  <si>
    <t>FromDate</t>
  </si>
  <si>
    <t>To</t>
  </si>
  <si>
    <t>ToDate</t>
  </si>
  <si>
    <t>Period</t>
  </si>
  <si>
    <t>Period Number</t>
  </si>
  <si>
    <t>Phase</t>
  </si>
  <si>
    <t>Year</t>
  </si>
  <si>
    <t>Month in Year</t>
  </si>
  <si>
    <t>Calendar Month Number</t>
  </si>
  <si>
    <t>Month Name</t>
  </si>
  <si>
    <t>Timeline</t>
  </si>
  <si>
    <t>Quarter</t>
  </si>
  <si>
    <t>Active Month Flag</t>
  </si>
  <si>
    <t>Active Month Countdown</t>
  </si>
  <si>
    <t>Company Year</t>
  </si>
  <si>
    <t>Company Month</t>
  </si>
  <si>
    <t>Annual Summary</t>
  </si>
  <si>
    <t>Annual_Summary</t>
  </si>
  <si>
    <t>Check</t>
  </si>
  <si>
    <t>Annual</t>
  </si>
  <si>
    <t>Year 0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</si>
  <si>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</si>
  <si>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</si>
  <si>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</si>
  <si>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</si>
  <si>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</si>
  <si>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</si>
  <si>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</si>
  <si>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</si>
  <si>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</si>
  <si>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</si>
  <si>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Active Months</t>
  </si>
  <si>
    <t>Qtr</t>
  </si>
  <si>
    <t>Quarter Number</t>
  </si>
  <si>
    <t>Quarter Label</t>
  </si>
  <si>
    <t>Pre</t>
  </si>
  <si>
    <t>M-5</t>
  </si>
  <si>
    <t>M-4</t>
  </si>
  <si>
    <t>M-3</t>
  </si>
  <si>
    <t>M-2</t>
  </si>
  <si>
    <t>M-1</t>
  </si>
  <si>
    <t>Y1M1</t>
  </si>
  <si>
    <t>Y2M2</t>
  </si>
  <si>
    <t>Y3M3</t>
  </si>
  <si>
    <t>Y4M4</t>
  </si>
  <si>
    <t>Y5M5</t>
  </si>
  <si>
    <t>Y6M6</t>
  </si>
  <si>
    <t>Y7M7</t>
  </si>
  <si>
    <t>Y8M8</t>
  </si>
  <si>
    <t>Y9M9</t>
  </si>
  <si>
    <t>Y10M10</t>
  </si>
  <si>
    <t>Y11M11</t>
  </si>
  <si>
    <t>Y12M12</t>
  </si>
  <si>
    <t>Y13M13</t>
  </si>
  <si>
    <t>Y14M14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</si>
  <si>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</si>
  <si>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</si>
  <si>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</si>
  <si>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</si>
  <si>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</si>
  <si>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</si>
  <si>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</si>
  <si>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</si>
  <si>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</si>
  <si>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</si>
  <si>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</si>
  <si>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</si>
  <si>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</si>
  <si>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</si>
  <si>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</si>
  <si>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</si>
  <si>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</si>
  <si>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</si>
  <si>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</si>
  <si>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</si>
  <si>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</si>
  <si>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</si>
  <si>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</si>
  <si>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</si>
  <si>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</si>
  <si>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</si>
  <si>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</si>
  <si>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</si>
  <si>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</si>
  <si>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</si>
  <si>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</si>
  <si>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</si>
  <si>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</si>
  <si>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</si>
  <si>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</si>
  <si>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</si>
  <si>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</si>
  <si>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</si>
  <si>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</si>
  <si>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</si>
  <si>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</si>
  <si>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</si>
  <si>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</si>
  <si>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</si>
  <si>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</si>
  <si>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</si>
  <si>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</si>
  <si>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</si>
  <si>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</si>
  <si>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</si>
  <si>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</si>
  <si>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</si>
  <si>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</si>
  <si>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</si>
  <si>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</si>
  <si>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</si>
  <si>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2005/6</t>
  </si>
  <si>
    <t>2006/7</t>
  </si>
  <si>
    <t>2007/8</t>
  </si>
  <si>
    <t>2008/9</t>
  </si>
  <si>
    <t>2009/10</t>
  </si>
  <si>
    <t>2010/11</t>
  </si>
  <si>
    <t>2011/12</t>
  </si>
  <si>
    <t>2012/13</t>
  </si>
  <si>
    <t>2013/14</t>
  </si>
  <si>
    <t>2014/15</t>
  </si>
  <si>
    <t>2015/16</t>
  </si>
  <si>
    <t>2016/17</t>
  </si>
  <si>
    <t>2017/18</t>
  </si>
  <si>
    <t>2018/19</t>
  </si>
  <si>
    <t>2019/20</t>
  </si>
  <si>
    <t>2009/0</t>
  </si>
  <si>
    <t>2010/1</t>
  </si>
  <si>
    <t>2011/2</t>
  </si>
  <si>
    <t>2012/3</t>
  </si>
  <si>
    <t>2013/4</t>
  </si>
  <si>
    <t>2014/5</t>
  </si>
  <si>
    <t>2015/6</t>
  </si>
  <si>
    <t>2016/7</t>
  </si>
  <si>
    <t>2017/8</t>
  </si>
  <si>
    <t>2018/9</t>
  </si>
  <si>
    <t>No Such Model</t>
  </si>
  <si>
    <t>Styles Legend</t>
  </si>
  <si>
    <t>Key</t>
  </si>
  <si>
    <t>Input Cells</t>
  </si>
  <si>
    <t>Input</t>
  </si>
  <si>
    <t>Mandatory</t>
  </si>
  <si>
    <t>list</t>
  </si>
  <si>
    <t>Formula Cells</t>
  </si>
  <si>
    <t>Prime</t>
  </si>
  <si>
    <t>This cell contains a Prime Formula</t>
  </si>
  <si>
    <t>Formula</t>
  </si>
  <si>
    <t>This cell contains a formula that has been copied from a Prime formula</t>
  </si>
  <si>
    <t>External</t>
  </si>
  <si>
    <t>This cell contains a reference to an external file</t>
  </si>
  <si>
    <t>This cell contains a simple True/Warning/False check</t>
  </si>
  <si>
    <t>Removed</t>
  </si>
  <si>
    <t>The cost row has been switched off.</t>
  </si>
  <si>
    <t>Model Name</t>
  </si>
  <si>
    <t>Filename</t>
  </si>
  <si>
    <t>Worksheet</t>
  </si>
  <si>
    <t>User Input cell</t>
  </si>
  <si>
    <t>Something must be entered into this cell or an error will occur</t>
  </si>
  <si>
    <t>Section heading</t>
  </si>
  <si>
    <t>End</t>
  </si>
  <si>
    <t>Timescales</t>
  </si>
  <si>
    <t>Manual Checks</t>
  </si>
  <si>
    <t>Period From</t>
  </si>
  <si>
    <t>Period To</t>
  </si>
  <si>
    <t>Active Period Flag</t>
  </si>
  <si>
    <t>Cost Inputs</t>
  </si>
  <si>
    <t>Orig</t>
  </si>
  <si>
    <t>Contact</t>
  </si>
  <si>
    <t>CU - Start</t>
  </si>
  <si>
    <t>CU - Transfer</t>
  </si>
  <si>
    <t>Notes</t>
  </si>
  <si>
    <t>Model Stage</t>
  </si>
  <si>
    <t>Spare</t>
  </si>
  <si>
    <t>Margin Code</t>
  </si>
  <si>
    <t>Opex/Capex</t>
  </si>
  <si>
    <t>Pre-Payment Accrual Code</t>
  </si>
  <si>
    <t>Accounting Treatment</t>
  </si>
  <si>
    <t>Margin</t>
  </si>
  <si>
    <t>All Manual</t>
  </si>
  <si>
    <t>CP</t>
  </si>
  <si>
    <t>CT</t>
  </si>
  <si>
    <t>SL</t>
  </si>
  <si>
    <t>Inflation %</t>
  </si>
  <si>
    <t>Total (Real)</t>
  </si>
  <si>
    <t>Total (Nominal)</t>
  </si>
  <si>
    <t>Overall checks</t>
  </si>
  <si>
    <t>Time Inputs</t>
  </si>
  <si>
    <t>Constants</t>
  </si>
  <si>
    <t>Conversion</t>
  </si>
  <si>
    <t>Cost Plus</t>
  </si>
  <si>
    <t>Financials</t>
  </si>
  <si>
    <t>Price</t>
  </si>
  <si>
    <t>Global</t>
  </si>
  <si>
    <t>Local</t>
  </si>
  <si>
    <t>TA</t>
  </si>
  <si>
    <t>MG</t>
  </si>
  <si>
    <t>JG</t>
  </si>
  <si>
    <t>EF</t>
  </si>
  <si>
    <t>Revenue</t>
  </si>
  <si>
    <t>Overhead</t>
  </si>
  <si>
    <t>Core Income</t>
  </si>
  <si>
    <t>Staff</t>
  </si>
  <si>
    <t>Subcontractor</t>
  </si>
  <si>
    <t>Option 1</t>
  </si>
  <si>
    <t>Option 2</t>
  </si>
  <si>
    <t>Score</t>
  </si>
  <si>
    <t>Weight</t>
  </si>
  <si>
    <t>Cost</t>
  </si>
  <si>
    <t>Benefit</t>
  </si>
  <si>
    <t>Business disruption</t>
  </si>
  <si>
    <t>Flexibility to change specification</t>
  </si>
  <si>
    <t>Cost of maintenance</t>
  </si>
  <si>
    <t>Relative ease of staff adoption</t>
  </si>
  <si>
    <t>Deliver precise outputs</t>
  </si>
  <si>
    <t>Total Score</t>
  </si>
  <si>
    <t>Development/Implementation overrun</t>
  </si>
  <si>
    <r>
      <t>Criteria</t>
    </r>
    <r>
      <rPr>
        <b/>
        <sz val="10"/>
        <color rgb="FF313896"/>
        <rFont val="Calibri"/>
        <family val="2"/>
        <scheme val="minor"/>
      </rPr>
      <t>©</t>
    </r>
  </si>
  <si>
    <t>ZZEND</t>
  </si>
  <si>
    <t>Opportunities &amp; Problems</t>
  </si>
  <si>
    <t>Requirement</t>
  </si>
  <si>
    <t>Explore and evaluate all the current constraints and enablers and implement a process that will improve financial information efficiency by at least 50%.</t>
  </si>
  <si>
    <t>Likelihood</t>
  </si>
  <si>
    <t>Impact</t>
  </si>
  <si>
    <t>Mitigating Actions</t>
  </si>
  <si>
    <t>Low</t>
  </si>
  <si>
    <t>Very High</t>
  </si>
  <si>
    <t>Outsource project to a company with proven industry experience and appropriately skilled implementation staff.</t>
  </si>
  <si>
    <t>Technology solution is unable to deliver required results</t>
  </si>
  <si>
    <t>Medium</t>
  </si>
  <si>
    <t>High</t>
  </si>
  <si>
    <t>Additional capital expenditure may be required in addition to that approved</t>
  </si>
  <si>
    <t>Scope creep</t>
  </si>
  <si>
    <t>Additional training and cost for staff</t>
  </si>
  <si>
    <r>
      <t>Description</t>
    </r>
    <r>
      <rPr>
        <b/>
        <sz val="1"/>
        <color rgb="FF313896"/>
        <rFont val="Calibri"/>
        <family val="2"/>
        <scheme val="minor"/>
      </rPr>
      <t>©</t>
    </r>
  </si>
  <si>
    <t>Priority</t>
  </si>
  <si>
    <t>There is a question as to the state of the data in the database.</t>
  </si>
  <si>
    <t>A data audit and subsequent validation must ensue immediately.</t>
  </si>
  <si>
    <r>
      <t>Resolution Actions</t>
    </r>
    <r>
      <rPr>
        <b/>
        <sz val="11"/>
        <color rgb="FF313896"/>
        <rFont val="Calibri"/>
        <family val="2"/>
        <scheme val="minor"/>
      </rPr>
      <t>©</t>
    </r>
  </si>
  <si>
    <r>
      <t>Resolution Actions</t>
    </r>
    <r>
      <rPr>
        <b/>
        <sz val="12"/>
        <color rgb="FF313896"/>
        <rFont val="Calibri"/>
        <family val="2"/>
        <scheme val="minor"/>
      </rPr>
      <t>©</t>
    </r>
  </si>
  <si>
    <r>
      <t>Description</t>
    </r>
    <r>
      <rPr>
        <b/>
        <sz val="12"/>
        <color rgb="FF313896"/>
        <rFont val="Calibri"/>
        <family val="2"/>
        <scheme val="minor"/>
      </rPr>
      <t>©</t>
    </r>
  </si>
  <si>
    <t>Error Tolerance</t>
  </si>
  <si>
    <t>Insurance</t>
  </si>
  <si>
    <t>Journals, Newspapers etc.</t>
  </si>
  <si>
    <t>Phase1</t>
  </si>
  <si>
    <t>Isys</t>
  </si>
  <si>
    <t>Grade 1 Staff cost</t>
  </si>
  <si>
    <t>Grade 2 Staff cost</t>
  </si>
  <si>
    <t>Grade 3 Staff cost</t>
  </si>
  <si>
    <t>Units sold</t>
  </si>
  <si>
    <t>Selling price (Per unit)</t>
  </si>
  <si>
    <t>Average salary (Per annum)</t>
  </si>
  <si>
    <t>Corporation tax</t>
  </si>
  <si>
    <t>Error check</t>
  </si>
  <si>
    <t>Isys Corp</t>
  </si>
  <si>
    <t>Cash flow statement 3 years</t>
  </si>
  <si>
    <t>Assumption register</t>
  </si>
  <si>
    <t>Model variable Inputs</t>
  </si>
  <si>
    <t>Model-fixed Inputs</t>
  </si>
  <si>
    <t>Time-related Inputs</t>
  </si>
  <si>
    <t>Model Information</t>
  </si>
  <si>
    <t>Drop-down</t>
  </si>
  <si>
    <t>Choose from Drop-down menu.</t>
  </si>
  <si>
    <t>Client name</t>
  </si>
  <si>
    <t>Bid name</t>
  </si>
  <si>
    <t>Business unit</t>
  </si>
  <si>
    <t>Industry sector</t>
  </si>
  <si>
    <t>No of months pre contract</t>
  </si>
  <si>
    <t>No of months to cost (excl pre-contract)</t>
  </si>
  <si>
    <t>Contract start date</t>
  </si>
  <si>
    <t>Contract end date</t>
  </si>
  <si>
    <t>Company year start date</t>
  </si>
  <si>
    <t>Company year end date</t>
  </si>
  <si>
    <t>Pre-contract start date</t>
  </si>
  <si>
    <t>Selling price (per unit)</t>
  </si>
  <si>
    <t>Average salary (per annum)</t>
  </si>
  <si>
    <t>Average Salary (per annum)</t>
  </si>
  <si>
    <t>Subcontractor hours</t>
  </si>
  <si>
    <t>selling Price (per Unit)</t>
  </si>
  <si>
    <t>User Inputs</t>
  </si>
  <si>
    <r>
      <t>Identify the key personal, the system, the data sources, and the technologies</t>
    </r>
    <r>
      <rPr>
        <b/>
        <i/>
        <sz val="11"/>
        <color rgb="FF0000FF"/>
        <rFont val="Calibri"/>
        <family val="2"/>
        <scheme val="minor"/>
      </rPr>
      <t>.</t>
    </r>
  </si>
  <si>
    <t>The possibility that the business unit can respond rapidly to the changing environment by having up-to-the minute information.</t>
  </si>
  <si>
    <t>Create a financial management suite (MIS) that will provide measurement metrics for all key financial drivers.</t>
  </si>
  <si>
    <t>Develop a stable tool that will constantly achieve 99.9% availability.</t>
  </si>
  <si>
    <t>Develop a tool that will enable the VP to analyze forecasts and predict future financial trends with 95% accuracy.</t>
  </si>
  <si>
    <t>Complete a pilot project to prove the full technology solution.</t>
  </si>
  <si>
    <t>Maintain strict capital expenditure processes during the project.</t>
  </si>
  <si>
    <t>The availability and timeliness of key financial information.</t>
  </si>
  <si>
    <t>A lack of visibility of the key financials of the business and therefore no transparency.</t>
  </si>
  <si>
    <t>The ability to measure the cost and relevancy of the finance department and make further efficiencies.</t>
  </si>
  <si>
    <t>The ability to support the transformation by adding financial information to operations.</t>
  </si>
  <si>
    <t>Get scope document approved and put in place change control process.</t>
  </si>
  <si>
    <t>Make sure software vendor can assist with on-going training suited toward Nonsuch Corp.</t>
  </si>
  <si>
    <t>Additional capital expenditure may be required in addition to that approved.</t>
  </si>
  <si>
    <t>Scope creep.</t>
  </si>
  <si>
    <t>Additional training and cost for staff.</t>
  </si>
  <si>
    <t>Inability to fully implement the software into Nonsuch systems.</t>
  </si>
  <si>
    <t>Technology solution is unable to deliver required results.</t>
  </si>
  <si>
    <t>Required capital expenditure funds have not been budgeted.</t>
  </si>
  <si>
    <t>Some of the required software is only at ‘beta’ phase and has not yet been released live.</t>
  </si>
  <si>
    <t>Request funding approval as part of this proposal.</t>
  </si>
  <si>
    <t>Design a solution based on current software version and adapt changes to the  solution once the final version of the software has been released.</t>
  </si>
  <si>
    <t>Inability to fully implement the modeling tool</t>
  </si>
  <si>
    <t>The financial modeling firm and modeler should be vetted and past results, successes, and failures considered.</t>
  </si>
  <si>
    <t>A well-structured change control and a well-communicated scope will help to mitigate.</t>
  </si>
  <si>
    <t>Make sure the modeling firm can assist with ongoing training suited toward Nonsuch Corp.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</si>
</sst>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&quot;FALSE&quot;;&quot;WARNING&quot;;&quot;TRUE&quot;"/>
    <numFmt numFmtId="165" formatCode="#,##0_ ;[Red]\-#,##0\ "/>
    <numFmt numFmtId="166" formatCode="0.0000"/>
    <numFmt numFmtId="167" formatCode="#,##0;[Red]\(#,##0\);&quot; - &quot;"/>
    <numFmt numFmtId="168" formatCode="_-* #,##0_-;[Red]\-\ #,##0_-;_-* &quot;-&quot;??_-;_-@_-"/>
    <numFmt numFmtId="169" formatCode="&quot;£&quot;#,##0;[Red]\(&quot;£&quot;#,##0\);&quot;  -  &quot;"/>
    <numFmt numFmtId="170" formatCode="&quot;£&quot;#,##0.00;[Red]&quot;£&quot;#,##0.00"/>
    <numFmt numFmtId="171" formatCode="dd\-mmm\-yyyy"/>
    <numFmt numFmtId="172" formatCode="#,##0.00;\-#,##0.00;&quot;&quot;"/>
    <numFmt numFmtId="173" formatCode="#,##0.00_ ;[Red]\-#,##0.00\ "/>
    <numFmt numFmtId="174" formatCode="#,##0.0_ ;[Red]\-#,##0.0\ "/>
    <numFmt numFmtId="175" formatCode="0.0%"/>
    <numFmt numFmtId="176" formatCode="#,##0;[Red]\(#,##0\);&quot;  -  &quot;"/>
    <numFmt numFmtId="177" formatCode="0.0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Verdana"/>
      <family val="2"/>
    </font>
    <font>
      <sz val="10"/>
      <color indexed="8"/>
      <name val="Arial"/>
      <family val="2"/>
    </font>
    <font>
      <b/>
      <sz val="9"/>
      <color indexed="9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i/>
      <sz val="10"/>
      <color theme="3" tint="-0.499984740745262"/>
      <name val="Verdana"/>
      <family val="2"/>
    </font>
    <font>
      <sz val="10"/>
      <name val="Arial"/>
      <family val="2"/>
    </font>
    <font>
      <sz val="9"/>
      <color indexed="8"/>
      <name val="Verdana"/>
      <family val="2"/>
    </font>
    <font>
      <i/>
      <sz val="10"/>
      <name val="Arial"/>
      <family val="2"/>
    </font>
    <font>
      <i/>
      <sz val="10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theme="0"/>
      <name val="Verdana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name val="Calibri"/>
      <family val="2"/>
    </font>
    <font>
      <b/>
      <sz val="9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entury Gothic"/>
      <family val="2"/>
    </font>
    <font>
      <b/>
      <sz val="9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3" tint="-0.499984740745262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17"/>
      <name val="Arial"/>
      <family val="2"/>
    </font>
    <font>
      <sz val="10"/>
      <name val="Helv"/>
      <charset val="204"/>
    </font>
    <font>
      <sz val="9"/>
      <color indexed="23"/>
      <name val="Arial"/>
      <family val="2"/>
    </font>
    <font>
      <b/>
      <sz val="11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31389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"/>
      <color rgb="FF31389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313896"/>
      <name val="Calibri"/>
      <family val="2"/>
      <scheme val="minor"/>
    </font>
    <font>
      <b/>
      <sz val="12"/>
      <color rgb="FF313896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95"/>
        <bgColor indexed="64"/>
      </patternFill>
    </fill>
    <fill>
      <patternFill patternType="gray125">
        <bgColor rgb="FF002095"/>
      </patternFill>
    </fill>
    <fill>
      <patternFill patternType="solid">
        <fgColor indexed="26"/>
        <bgColor indexed="64"/>
      </patternFill>
    </fill>
    <fill>
      <patternFill patternType="solid">
        <fgColor rgb="FFA3FFCF"/>
        <bgColor indexed="64"/>
      </patternFill>
    </fill>
    <fill>
      <patternFill patternType="lightUp"/>
    </fill>
    <fill>
      <patternFill patternType="lightUp">
        <bgColor indexed="22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lightGray"/>
    </fill>
    <fill>
      <patternFill patternType="solid">
        <fgColor rgb="FFFFFFCC"/>
        <bgColor indexed="64"/>
      </patternFill>
    </fill>
    <fill>
      <patternFill patternType="solid">
        <fgColor rgb="FF313896"/>
        <bgColor indexed="64"/>
      </patternFill>
    </fill>
  </fills>
  <borders count="6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/>
      </right>
      <top/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 style="thin">
        <color theme="0" tint="-0.499984740745262"/>
      </bottom>
      <diagonal/>
    </border>
    <border>
      <left style="thin">
        <color theme="0"/>
      </left>
      <right/>
      <top/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theme="0" tint="-0.499984740745262"/>
      </right>
      <top style="medium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auto="1"/>
      </top>
      <bottom/>
      <diagonal/>
    </border>
    <border>
      <left style="medium">
        <color auto="1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auto="1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43" fontId="1" fillId="0" borderId="0" applyFont="0" applyFill="0" applyBorder="0" applyAlignment="0" applyProtection="0"/>
    <xf numFmtId="0" fontId="5" fillId="0" borderId="0"/>
    <xf numFmtId="0" fontId="7" fillId="0" borderId="0">
      <alignment horizontal="left"/>
    </xf>
    <xf numFmtId="0" fontId="7" fillId="4" borderId="1" applyNumberFormat="0" applyAlignment="0" applyProtection="0"/>
    <xf numFmtId="0" fontId="7" fillId="7" borderId="1"/>
    <xf numFmtId="0" fontId="9" fillId="0" borderId="0" applyNumberFormat="0" applyFill="0" applyBorder="0" applyAlignment="0" applyProtection="0"/>
    <xf numFmtId="0" fontId="7" fillId="8" borderId="1"/>
    <xf numFmtId="9" fontId="10" fillId="0" borderId="0" applyFont="0" applyFill="0" applyBorder="0" applyAlignment="0" applyProtection="0"/>
    <xf numFmtId="0" fontId="12" fillId="0" borderId="0"/>
    <xf numFmtId="168" fontId="10" fillId="7" borderId="9"/>
    <xf numFmtId="164" fontId="6" fillId="3" borderId="2">
      <alignment horizontal="center" vertical="center" shrinkToFit="1"/>
      <protection hidden="1"/>
    </xf>
    <xf numFmtId="0" fontId="4" fillId="2" borderId="0"/>
    <xf numFmtId="0" fontId="16" fillId="5" borderId="0"/>
    <xf numFmtId="0" fontId="10" fillId="0" borderId="0"/>
    <xf numFmtId="0" fontId="16" fillId="13" borderId="0"/>
    <xf numFmtId="168" fontId="10" fillId="7" borderId="9">
      <protection locked="0"/>
    </xf>
    <xf numFmtId="0" fontId="35" fillId="7" borderId="46">
      <alignment horizontal="center"/>
    </xf>
    <xf numFmtId="168" fontId="10" fillId="17" borderId="9"/>
    <xf numFmtId="168" fontId="10" fillId="12" borderId="9"/>
    <xf numFmtId="168" fontId="10" fillId="18" borderId="9"/>
    <xf numFmtId="0" fontId="36" fillId="0" borderId="0"/>
    <xf numFmtId="168" fontId="37" fillId="12" borderId="9"/>
    <xf numFmtId="168" fontId="34" fillId="20" borderId="9"/>
    <xf numFmtId="15" fontId="10" fillId="17" borderId="9"/>
    <xf numFmtId="0" fontId="5" fillId="0" borderId="0"/>
    <xf numFmtId="0" fontId="10" fillId="7" borderId="47"/>
  </cellStyleXfs>
  <cellXfs count="247">
    <xf numFmtId="0" fontId="0" fillId="0" borderId="0" xfId="0"/>
    <xf numFmtId="0" fontId="4" fillId="2" borderId="0" xfId="0" applyFont="1" applyFill="1"/>
    <xf numFmtId="0" fontId="2" fillId="2" borderId="0" xfId="0" applyFont="1" applyFill="1"/>
    <xf numFmtId="164" fontId="6" fillId="3" borderId="2" xfId="2" applyNumberFormat="1" applyFont="1" applyFill="1" applyBorder="1" applyAlignment="1" applyProtection="1">
      <alignment horizontal="center" vertical="center" shrinkToFit="1"/>
      <protection hidden="1"/>
    </xf>
    <xf numFmtId="0" fontId="7" fillId="0" borderId="0" xfId="3">
      <alignment horizontal="left"/>
    </xf>
    <xf numFmtId="0" fontId="8" fillId="0" borderId="0" xfId="3" applyFont="1">
      <alignment horizontal="left"/>
    </xf>
    <xf numFmtId="0" fontId="7" fillId="4" borderId="1" xfId="4"/>
    <xf numFmtId="0" fontId="2" fillId="5" borderId="0" xfId="0" applyFont="1" applyFill="1"/>
    <xf numFmtId="0" fontId="2" fillId="6" borderId="3" xfId="0" applyFont="1" applyFill="1" applyBorder="1"/>
    <xf numFmtId="0" fontId="0" fillId="1" borderId="4" xfId="0" applyFill="1" applyBorder="1"/>
    <xf numFmtId="0" fontId="7" fillId="7" borderId="1" xfId="5"/>
    <xf numFmtId="0" fontId="9" fillId="0" borderId="0" xfId="6"/>
    <xf numFmtId="0" fontId="2" fillId="6" borderId="4" xfId="0" applyFont="1" applyFill="1" applyBorder="1"/>
    <xf numFmtId="14" fontId="7" fillId="7" borderId="1" xfId="5" applyNumberFormat="1"/>
    <xf numFmtId="14" fontId="7" fillId="8" borderId="1" xfId="7" applyNumberFormat="1"/>
    <xf numFmtId="0" fontId="10" fillId="9" borderId="5" xfId="0" applyFont="1" applyFill="1" applyBorder="1" applyProtection="1"/>
    <xf numFmtId="0" fontId="10" fillId="9" borderId="6" xfId="0" applyFont="1" applyFill="1" applyBorder="1" applyProtection="1"/>
    <xf numFmtId="0" fontId="10" fillId="9" borderId="6" xfId="0" applyFont="1" applyFill="1" applyBorder="1"/>
    <xf numFmtId="0" fontId="10" fillId="10" borderId="6" xfId="0" applyFont="1" applyFill="1" applyBorder="1"/>
    <xf numFmtId="9" fontId="10" fillId="9" borderId="7" xfId="8" applyFont="1" applyFill="1" applyBorder="1" applyProtection="1"/>
    <xf numFmtId="0" fontId="0" fillId="0" borderId="0" xfId="0" applyProtection="1"/>
    <xf numFmtId="0" fontId="7" fillId="7" borderId="1" xfId="5" applyAlignment="1"/>
    <xf numFmtId="0" fontId="11" fillId="11" borderId="2" xfId="2" applyFont="1" applyFill="1" applyBorder="1" applyAlignment="1" applyProtection="1">
      <alignment horizontal="center" vertical="center" shrinkToFit="1"/>
      <protection locked="0"/>
    </xf>
    <xf numFmtId="9" fontId="10" fillId="9" borderId="6" xfId="8" applyFont="1" applyFill="1" applyBorder="1" applyProtection="1"/>
    <xf numFmtId="0" fontId="9" fillId="7" borderId="0" xfId="6" applyFill="1" applyBorder="1" applyAlignment="1"/>
    <xf numFmtId="0" fontId="5" fillId="0" borderId="0" xfId="0" applyFont="1"/>
    <xf numFmtId="0" fontId="5" fillId="0" borderId="0" xfId="0" applyFont="1" applyAlignment="1">
      <alignment horizontal="center"/>
    </xf>
    <xf numFmtId="0" fontId="10" fillId="10" borderId="7" xfId="0" applyFont="1" applyFill="1" applyBorder="1"/>
    <xf numFmtId="0" fontId="10" fillId="9" borderId="7" xfId="0" applyFont="1" applyFill="1" applyBorder="1"/>
    <xf numFmtId="165" fontId="5" fillId="12" borderId="8" xfId="1" applyNumberFormat="1" applyFont="1" applyFill="1" applyBorder="1" applyAlignment="1" applyProtection="1">
      <alignment horizontal="center" vertical="center" shrinkToFit="1"/>
    </xf>
    <xf numFmtId="0" fontId="12" fillId="0" borderId="0" xfId="9" applyFont="1" applyProtection="1"/>
    <xf numFmtId="0" fontId="13" fillId="0" borderId="0" xfId="0" applyFont="1" applyProtection="1"/>
    <xf numFmtId="0" fontId="9" fillId="0" borderId="0" xfId="6" applyProtection="1"/>
    <xf numFmtId="0" fontId="7" fillId="7" borderId="1" xfId="5" applyAlignment="1">
      <alignment horizontal="left"/>
    </xf>
    <xf numFmtId="166" fontId="7" fillId="7" borderId="1" xfId="5" applyNumberFormat="1" applyAlignment="1">
      <alignment horizontal="left"/>
    </xf>
    <xf numFmtId="10" fontId="7" fillId="7" borderId="1" xfId="5" applyNumberFormat="1"/>
    <xf numFmtId="167" fontId="7" fillId="4" borderId="1" xfId="4" applyNumberFormat="1"/>
    <xf numFmtId="165" fontId="7" fillId="4" borderId="1" xfId="4" applyNumberFormat="1" applyAlignment="1" applyProtection="1">
      <alignment horizontal="center" vertical="center" shrinkToFit="1"/>
    </xf>
    <xf numFmtId="0" fontId="9" fillId="0" borderId="0" xfId="6" applyAlignment="1" applyProtection="1">
      <alignment horizontal="center"/>
    </xf>
    <xf numFmtId="0" fontId="10" fillId="9" borderId="6" xfId="2" applyFont="1" applyFill="1" applyBorder="1"/>
    <xf numFmtId="0" fontId="10" fillId="10" borderId="6" xfId="2" applyFont="1" applyFill="1" applyBorder="1"/>
    <xf numFmtId="0" fontId="10" fillId="9" borderId="7" xfId="2" applyFont="1" applyFill="1" applyBorder="1"/>
    <xf numFmtId="0" fontId="5" fillId="0" borderId="0" xfId="2"/>
    <xf numFmtId="0" fontId="10" fillId="7" borderId="9" xfId="10" applyNumberFormat="1" applyAlignment="1" applyProtection="1">
      <alignment horizontal="center" vertical="center" shrinkToFit="1"/>
      <protection locked="0"/>
    </xf>
    <xf numFmtId="0" fontId="13" fillId="0" borderId="0" xfId="2" applyFont="1" applyAlignment="1" applyProtection="1">
      <alignment horizontal="left"/>
    </xf>
    <xf numFmtId="0" fontId="9" fillId="7" borderId="0" xfId="6" applyFill="1" applyBorder="1"/>
    <xf numFmtId="0" fontId="3" fillId="0" borderId="0" xfId="0" applyFont="1" applyAlignment="1">
      <alignment horizontal="center" vertical="center" textRotation="90"/>
    </xf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17" fillId="0" borderId="13" xfId="0" applyFont="1" applyBorder="1"/>
    <xf numFmtId="0" fontId="17" fillId="0" borderId="14" xfId="0" applyFont="1" applyBorder="1"/>
    <xf numFmtId="0" fontId="0" fillId="0" borderId="14" xfId="0" applyBorder="1"/>
    <xf numFmtId="0" fontId="0" fillId="0" borderId="15" xfId="0" applyBorder="1"/>
    <xf numFmtId="0" fontId="17" fillId="0" borderId="16" xfId="0" applyFont="1" applyBorder="1"/>
    <xf numFmtId="0" fontId="17" fillId="0" borderId="17" xfId="0" applyFont="1" applyBorder="1"/>
    <xf numFmtId="0" fontId="0" fillId="0" borderId="17" xfId="0" applyBorder="1"/>
    <xf numFmtId="0" fontId="0" fillId="0" borderId="18" xfId="0" applyBorder="1"/>
    <xf numFmtId="0" fontId="17" fillId="0" borderId="19" xfId="0" applyFont="1" applyBorder="1"/>
    <xf numFmtId="0" fontId="17" fillId="0" borderId="20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2" fillId="2" borderId="31" xfId="0" applyFont="1" applyFill="1" applyBorder="1" applyAlignment="1">
      <alignment horizontal="center" vertical="center" textRotation="90"/>
    </xf>
    <xf numFmtId="0" fontId="2" fillId="2" borderId="32" xfId="0" applyFont="1" applyFill="1" applyBorder="1" applyAlignment="1">
      <alignment horizontal="center" vertical="center" textRotation="90"/>
    </xf>
    <xf numFmtId="0" fontId="2" fillId="2" borderId="33" xfId="0" applyFont="1" applyFill="1" applyBorder="1" applyAlignment="1">
      <alignment horizontal="center" vertical="center" textRotation="90"/>
    </xf>
    <xf numFmtId="0" fontId="0" fillId="14" borderId="23" xfId="0" applyFill="1" applyBorder="1"/>
    <xf numFmtId="169" fontId="21" fillId="0" borderId="0" xfId="10" applyNumberFormat="1" applyFont="1" applyFill="1" applyBorder="1" applyAlignment="1" applyProtection="1">
      <alignment horizontal="center" vertical="center"/>
    </xf>
    <xf numFmtId="0" fontId="23" fillId="0" borderId="0" xfId="0" applyFont="1" applyBorder="1"/>
    <xf numFmtId="0" fontId="23" fillId="0" borderId="34" xfId="0" applyFont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0" xfId="0" applyBorder="1"/>
    <xf numFmtId="0" fontId="26" fillId="0" borderId="0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9" xfId="0" applyBorder="1"/>
    <xf numFmtId="0" fontId="24" fillId="0" borderId="0" xfId="0" applyFont="1" applyBorder="1"/>
    <xf numFmtId="0" fontId="23" fillId="0" borderId="0" xfId="14" applyFont="1" applyBorder="1" applyAlignment="1">
      <alignment horizontal="left" indent="2"/>
    </xf>
    <xf numFmtId="0" fontId="25" fillId="0" borderId="0" xfId="0" applyFont="1" applyBorder="1"/>
    <xf numFmtId="0" fontId="23" fillId="0" borderId="0" xfId="14" applyFont="1" applyBorder="1" applyAlignment="1">
      <alignment horizontal="left" indent="4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3" fillId="0" borderId="0" xfId="0" applyFont="1"/>
    <xf numFmtId="0" fontId="3" fillId="0" borderId="36" xfId="0" applyFont="1" applyBorder="1"/>
    <xf numFmtId="0" fontId="27" fillId="2" borderId="0" xfId="0" applyFont="1" applyFill="1" applyBorder="1"/>
    <xf numFmtId="0" fontId="19" fillId="2" borderId="0" xfId="0" applyFont="1" applyFill="1" applyBorder="1"/>
    <xf numFmtId="170" fontId="0" fillId="0" borderId="0" xfId="0" applyNumberFormat="1" applyBorder="1"/>
    <xf numFmtId="169" fontId="0" fillId="0" borderId="0" xfId="0" applyNumberFormat="1" applyBorder="1"/>
    <xf numFmtId="0" fontId="3" fillId="0" borderId="35" xfId="0" applyFont="1" applyBorder="1"/>
    <xf numFmtId="0" fontId="0" fillId="0" borderId="0" xfId="0" applyFont="1" applyBorder="1"/>
    <xf numFmtId="0" fontId="0" fillId="0" borderId="0" xfId="0" applyFont="1"/>
    <xf numFmtId="167" fontId="20" fillId="15" borderId="1" xfId="5" applyNumberFormat="1" applyFont="1" applyFill="1" applyBorder="1"/>
    <xf numFmtId="167" fontId="26" fillId="15" borderId="1" xfId="5" applyNumberFormat="1" applyFont="1" applyFill="1" applyBorder="1"/>
    <xf numFmtId="0" fontId="28" fillId="0" borderId="0" xfId="0" applyFont="1"/>
    <xf numFmtId="0" fontId="29" fillId="2" borderId="0" xfId="0" applyFont="1" applyFill="1" applyBorder="1"/>
    <xf numFmtId="167" fontId="20" fillId="7" borderId="1" xfId="5" applyNumberFormat="1" applyFont="1" applyBorder="1"/>
    <xf numFmtId="170" fontId="28" fillId="0" borderId="0" xfId="0" applyNumberFormat="1" applyFont="1" applyBorder="1"/>
    <xf numFmtId="0" fontId="28" fillId="0" borderId="0" xfId="0" applyFont="1" applyBorder="1"/>
    <xf numFmtId="0" fontId="32" fillId="2" borderId="0" xfId="0" applyFont="1" applyFill="1"/>
    <xf numFmtId="0" fontId="33" fillId="0" borderId="0" xfId="6" applyFont="1"/>
    <xf numFmtId="0" fontId="17" fillId="0" borderId="0" xfId="0" applyFont="1"/>
    <xf numFmtId="0" fontId="23" fillId="0" borderId="0" xfId="3" applyFont="1">
      <alignment horizontal="left"/>
    </xf>
    <xf numFmtId="0" fontId="32" fillId="5" borderId="0" xfId="0" applyFont="1" applyFill="1"/>
    <xf numFmtId="171" fontId="23" fillId="8" borderId="1" xfId="7" applyNumberFormat="1" applyFont="1"/>
    <xf numFmtId="171" fontId="23" fillId="4" borderId="1" xfId="4" applyNumberFormat="1" applyFont="1"/>
    <xf numFmtId="0" fontId="23" fillId="8" borderId="1" xfId="7" applyFont="1" applyAlignment="1">
      <alignment horizontal="center"/>
    </xf>
    <xf numFmtId="0" fontId="23" fillId="4" borderId="1" xfId="4" applyFont="1" applyAlignment="1">
      <alignment horizontal="center"/>
    </xf>
    <xf numFmtId="38" fontId="23" fillId="8" borderId="1" xfId="7" applyNumberFormat="1" applyFont="1" applyAlignment="1">
      <alignment horizontal="center"/>
    </xf>
    <xf numFmtId="38" fontId="23" fillId="4" borderId="1" xfId="4" applyNumberFormat="1" applyFont="1" applyAlignment="1">
      <alignment horizontal="center"/>
    </xf>
    <xf numFmtId="0" fontId="23" fillId="4" borderId="1" xfId="4" applyFont="1"/>
    <xf numFmtId="0" fontId="23" fillId="7" borderId="1" xfId="5" applyFont="1" applyAlignment="1">
      <alignment horizontal="center"/>
    </xf>
    <xf numFmtId="171" fontId="23" fillId="8" borderId="1" xfId="7" applyNumberFormat="1" applyFont="1" applyAlignment="1">
      <alignment horizontal="center"/>
    </xf>
    <xf numFmtId="171" fontId="23" fillId="4" borderId="1" xfId="4" applyNumberFormat="1" applyFont="1" applyAlignment="1">
      <alignment horizontal="center"/>
    </xf>
    <xf numFmtId="0" fontId="23" fillId="0" borderId="0" xfId="3" applyFont="1" applyFill="1">
      <alignment horizontal="left"/>
    </xf>
    <xf numFmtId="3" fontId="23" fillId="4" borderId="1" xfId="4" applyNumberFormat="1" applyFont="1" applyAlignment="1">
      <alignment horizontal="center"/>
    </xf>
    <xf numFmtId="0" fontId="32" fillId="13" borderId="0" xfId="15" applyFont="1"/>
    <xf numFmtId="164" fontId="34" fillId="3" borderId="2" xfId="2" applyNumberFormat="1" applyFont="1" applyFill="1" applyBorder="1" applyAlignment="1" applyProtection="1">
      <alignment horizontal="center" vertical="center" shrinkToFit="1"/>
      <protection hidden="1"/>
    </xf>
    <xf numFmtId="0" fontId="38" fillId="16" borderId="0" xfId="2" applyFont="1" applyFill="1" applyProtection="1"/>
    <xf numFmtId="0" fontId="39" fillId="0" borderId="0" xfId="2" applyFont="1"/>
    <xf numFmtId="172" fontId="39" fillId="0" borderId="0" xfId="2" applyNumberFormat="1" applyFont="1" applyProtection="1"/>
    <xf numFmtId="0" fontId="39" fillId="0" borderId="0" xfId="2" applyFont="1" applyProtection="1"/>
    <xf numFmtId="0" fontId="23" fillId="0" borderId="0" xfId="14" applyFont="1"/>
    <xf numFmtId="0" fontId="40" fillId="16" borderId="0" xfId="2" applyFont="1" applyFill="1" applyProtection="1"/>
    <xf numFmtId="0" fontId="41" fillId="16" borderId="0" xfId="2" applyFont="1" applyFill="1" applyProtection="1"/>
    <xf numFmtId="0" fontId="39" fillId="16" borderId="0" xfId="2" applyFont="1" applyFill="1" applyProtection="1"/>
    <xf numFmtId="0" fontId="24" fillId="0" borderId="0" xfId="2" applyFont="1" applyProtection="1"/>
    <xf numFmtId="165" fontId="23" fillId="7" borderId="9" xfId="10" applyNumberFormat="1" applyFont="1" applyAlignment="1" applyProtection="1">
      <alignment horizontal="center"/>
    </xf>
    <xf numFmtId="165" fontId="23" fillId="17" borderId="9" xfId="18" applyNumberFormat="1" applyFont="1" applyAlignment="1" applyProtection="1">
      <alignment horizontal="center"/>
    </xf>
    <xf numFmtId="173" fontId="23" fillId="12" borderId="9" xfId="19" applyNumberFormat="1" applyFont="1" applyAlignment="1" applyProtection="1">
      <alignment horizontal="center"/>
    </xf>
    <xf numFmtId="164" fontId="40" fillId="3" borderId="2" xfId="2" applyNumberFormat="1" applyFont="1" applyFill="1" applyBorder="1" applyAlignment="1" applyProtection="1">
      <alignment horizontal="center" vertical="center" shrinkToFit="1"/>
      <protection hidden="1"/>
    </xf>
    <xf numFmtId="0" fontId="41" fillId="19" borderId="0" xfId="2" applyFont="1" applyFill="1" applyProtection="1"/>
    <xf numFmtId="0" fontId="23" fillId="19" borderId="0" xfId="2" applyFont="1" applyFill="1" applyProtection="1"/>
    <xf numFmtId="0" fontId="39" fillId="19" borderId="0" xfId="2" applyFont="1" applyFill="1" applyProtection="1"/>
    <xf numFmtId="0" fontId="42" fillId="0" borderId="0" xfId="2" applyFont="1" applyAlignment="1" applyProtection="1">
      <alignment horizontal="center"/>
    </xf>
    <xf numFmtId="0" fontId="43" fillId="0" borderId="0" xfId="2" applyFont="1" applyProtection="1"/>
    <xf numFmtId="0" fontId="23" fillId="7" borderId="2" xfId="16" applyNumberFormat="1" applyFont="1" applyFill="1" applyBorder="1" applyAlignment="1" applyProtection="1">
      <alignment horizontal="center"/>
    </xf>
    <xf numFmtId="0" fontId="23" fillId="7" borderId="46" xfId="17" applyFont="1" applyProtection="1">
      <alignment horizontal="center"/>
    </xf>
    <xf numFmtId="174" fontId="23" fillId="21" borderId="9" xfId="20" applyNumberFormat="1" applyFont="1" applyFill="1" applyAlignment="1" applyProtection="1">
      <alignment horizontal="center"/>
    </xf>
    <xf numFmtId="165" fontId="27" fillId="22" borderId="9" xfId="10" applyNumberFormat="1" applyFont="1" applyFill="1" applyAlignment="1" applyProtection="1">
      <alignment horizontal="center"/>
    </xf>
    <xf numFmtId="0" fontId="0" fillId="23" borderId="3" xfId="0" applyFill="1" applyBorder="1"/>
    <xf numFmtId="0" fontId="2" fillId="13" borderId="0" xfId="0" applyFont="1" applyFill="1"/>
    <xf numFmtId="0" fontId="7" fillId="8" borderId="1" xfId="7" applyAlignment="1">
      <alignment horizontal="center"/>
    </xf>
    <xf numFmtId="0" fontId="7" fillId="4" borderId="1" xfId="4" applyAlignment="1">
      <alignment horizontal="center"/>
    </xf>
    <xf numFmtId="0" fontId="7" fillId="4" borderId="48" xfId="4" applyBorder="1" applyAlignment="1">
      <alignment horizontal="center"/>
    </xf>
    <xf numFmtId="0" fontId="0" fillId="23" borderId="4" xfId="0" applyFill="1" applyBorder="1"/>
    <xf numFmtId="0" fontId="0" fillId="13" borderId="0" xfId="0" applyFill="1" applyBorder="1" applyAlignment="1">
      <alignment horizontal="center" vertical="center" wrapText="1"/>
    </xf>
    <xf numFmtId="15" fontId="7" fillId="8" borderId="1" xfId="7" applyNumberFormat="1"/>
    <xf numFmtId="171" fontId="7" fillId="4" borderId="1" xfId="4" applyNumberFormat="1"/>
    <xf numFmtId="171" fontId="7" fillId="4" borderId="48" xfId="4" applyNumberFormat="1" applyBorder="1"/>
    <xf numFmtId="15" fontId="7" fillId="8" borderId="1" xfId="7" applyNumberFormat="1" applyAlignment="1">
      <alignment horizontal="center"/>
    </xf>
    <xf numFmtId="0" fontId="0" fillId="13" borderId="0" xfId="0" applyFill="1"/>
    <xf numFmtId="0" fontId="7" fillId="4" borderId="48" xfId="4" applyBorder="1"/>
    <xf numFmtId="0" fontId="8" fillId="7" borderId="1" xfId="5" applyFont="1" applyAlignment="1">
      <alignment horizontal="center" vertical="center"/>
    </xf>
    <xf numFmtId="0" fontId="8" fillId="4" borderId="1" xfId="4" applyFont="1" applyAlignment="1">
      <alignment horizontal="center" vertical="center"/>
    </xf>
    <xf numFmtId="0" fontId="8" fillId="0" borderId="1" xfId="4" applyFont="1" applyFill="1"/>
    <xf numFmtId="0" fontId="7" fillId="0" borderId="49" xfId="3" applyBorder="1" applyAlignment="1">
      <alignment horizontal="center"/>
    </xf>
    <xf numFmtId="0" fontId="8" fillId="4" borderId="1" xfId="4" applyFont="1" applyAlignment="1">
      <alignment horizontal="center" wrapText="1"/>
    </xf>
    <xf numFmtId="0" fontId="8" fillId="4" borderId="1" xfId="4" applyFont="1" applyAlignment="1">
      <alignment horizontal="center" vertical="center" wrapText="1"/>
    </xf>
    <xf numFmtId="0" fontId="8" fillId="7" borderId="1" xfId="5" applyFont="1" applyAlignment="1">
      <alignment horizontal="center"/>
    </xf>
    <xf numFmtId="0" fontId="8" fillId="4" borderId="1" xfId="4" applyFont="1" applyAlignment="1">
      <alignment horizontal="center" textRotation="90" wrapText="1"/>
    </xf>
    <xf numFmtId="0" fontId="0" fillId="13" borderId="0" xfId="0" applyFill="1" applyAlignment="1">
      <alignment horizontal="center"/>
    </xf>
    <xf numFmtId="0" fontId="10" fillId="7" borderId="47" xfId="26"/>
    <xf numFmtId="0" fontId="0" fillId="24" borderId="1" xfId="0" applyFill="1" applyBorder="1"/>
    <xf numFmtId="0" fontId="0" fillId="24" borderId="48" xfId="0" applyFill="1" applyBorder="1"/>
    <xf numFmtId="175" fontId="7" fillId="4" borderId="1" xfId="4" applyNumberFormat="1"/>
    <xf numFmtId="0" fontId="5" fillId="11" borderId="2" xfId="2" applyNumberFormat="1" applyFill="1" applyBorder="1" applyAlignment="1" applyProtection="1">
      <alignment horizontal="center" vertical="center" shrinkToFit="1"/>
    </xf>
    <xf numFmtId="167" fontId="28" fillId="0" borderId="0" xfId="0" applyNumberFormat="1" applyFont="1" applyBorder="1"/>
    <xf numFmtId="167" fontId="29" fillId="2" borderId="0" xfId="0" applyNumberFormat="1" applyFont="1" applyFill="1" applyBorder="1"/>
    <xf numFmtId="167" fontId="26" fillId="0" borderId="0" xfId="0" applyNumberFormat="1" applyFont="1" applyBorder="1" applyAlignment="1">
      <alignment horizontal="center"/>
    </xf>
    <xf numFmtId="0" fontId="23" fillId="0" borderId="0" xfId="0" applyFont="1" applyFill="1" applyBorder="1"/>
    <xf numFmtId="9" fontId="20" fillId="7" borderId="1" xfId="5" applyNumberFormat="1" applyFont="1" applyBorder="1"/>
    <xf numFmtId="9" fontId="20" fillId="15" borderId="1" xfId="5" applyNumberFormat="1" applyFont="1" applyFill="1" applyBorder="1"/>
    <xf numFmtId="164" fontId="44" fillId="3" borderId="2" xfId="2" applyNumberFormat="1" applyFont="1" applyFill="1" applyBorder="1" applyAlignment="1" applyProtection="1">
      <alignment horizontal="center" vertical="center" shrinkToFit="1"/>
      <protection hidden="1"/>
    </xf>
    <xf numFmtId="0" fontId="45" fillId="0" borderId="0" xfId="2" applyFont="1" applyProtection="1"/>
    <xf numFmtId="0" fontId="19" fillId="13" borderId="0" xfId="0" applyFont="1" applyFill="1"/>
    <xf numFmtId="176" fontId="21" fillId="0" borderId="0" xfId="10" applyNumberFormat="1" applyFont="1" applyFill="1" applyBorder="1" applyAlignment="1" applyProtection="1">
      <alignment horizontal="center" vertical="center"/>
    </xf>
    <xf numFmtId="176" fontId="22" fillId="0" borderId="34" xfId="10" applyNumberFormat="1" applyFont="1" applyFill="1" applyBorder="1" applyAlignment="1" applyProtection="1">
      <alignment horizontal="center" vertical="center"/>
    </xf>
    <xf numFmtId="176" fontId="21" fillId="15" borderId="5" xfId="10" applyNumberFormat="1" applyFont="1" applyFill="1" applyBorder="1" applyAlignment="1" applyProtection="1">
      <alignment horizontal="center" vertical="center"/>
    </xf>
    <xf numFmtId="176" fontId="21" fillId="15" borderId="44" xfId="10" applyNumberFormat="1" applyFont="1" applyFill="1" applyBorder="1" applyAlignment="1" applyProtection="1">
      <alignment horizontal="center" vertical="center"/>
    </xf>
    <xf numFmtId="176" fontId="21" fillId="15" borderId="7" xfId="10" applyNumberFormat="1" applyFont="1" applyFill="1" applyBorder="1" applyAlignment="1" applyProtection="1">
      <alignment horizontal="center" vertical="center"/>
    </xf>
    <xf numFmtId="167" fontId="21" fillId="0" borderId="0" xfId="10" applyNumberFormat="1" applyFont="1" applyFill="1" applyBorder="1" applyAlignment="1" applyProtection="1">
      <alignment horizontal="center" vertical="center"/>
    </xf>
    <xf numFmtId="167" fontId="0" fillId="0" borderId="0" xfId="0" applyNumberFormat="1" applyBorder="1"/>
    <xf numFmtId="167" fontId="22" fillId="0" borderId="34" xfId="10" applyNumberFormat="1" applyFont="1" applyFill="1" applyBorder="1" applyAlignment="1" applyProtection="1">
      <alignment horizontal="center" vertical="center"/>
    </xf>
    <xf numFmtId="3" fontId="0" fillId="24" borderId="1" xfId="0" applyNumberFormat="1" applyFill="1" applyBorder="1"/>
    <xf numFmtId="3" fontId="0" fillId="0" borderId="0" xfId="0" applyNumberFormat="1"/>
    <xf numFmtId="0" fontId="17" fillId="0" borderId="0" xfId="0" applyFont="1" applyAlignment="1">
      <alignment vertical="center"/>
    </xf>
    <xf numFmtId="0" fontId="17" fillId="0" borderId="4" xfId="0" applyFont="1" applyBorder="1" applyAlignment="1">
      <alignment vertical="center"/>
    </xf>
    <xf numFmtId="0" fontId="46" fillId="25" borderId="42" xfId="0" applyFont="1" applyFill="1" applyBorder="1" applyAlignment="1">
      <alignment horizontal="center" vertical="center"/>
    </xf>
    <xf numFmtId="0" fontId="47" fillId="0" borderId="4" xfId="0" applyFont="1" applyBorder="1" applyAlignment="1">
      <alignment vertical="center"/>
    </xf>
    <xf numFmtId="0" fontId="48" fillId="25" borderId="50" xfId="0" applyFont="1" applyFill="1" applyBorder="1" applyAlignment="1">
      <alignment vertical="center"/>
    </xf>
    <xf numFmtId="0" fontId="50" fillId="0" borderId="51" xfId="0" applyFont="1" applyBorder="1" applyAlignment="1">
      <alignment horizontal="right" vertical="center"/>
    </xf>
    <xf numFmtId="0" fontId="17" fillId="0" borderId="52" xfId="0" applyFont="1" applyBorder="1" applyAlignment="1">
      <alignment vertical="center"/>
    </xf>
    <xf numFmtId="0" fontId="17" fillId="0" borderId="53" xfId="0" applyFont="1" applyBorder="1" applyAlignment="1">
      <alignment vertical="center"/>
    </xf>
    <xf numFmtId="177" fontId="17" fillId="0" borderId="54" xfId="0" applyNumberFormat="1" applyFont="1" applyBorder="1" applyAlignment="1">
      <alignment vertical="center"/>
    </xf>
    <xf numFmtId="0" fontId="17" fillId="0" borderId="54" xfId="0" applyFont="1" applyBorder="1" applyAlignment="1">
      <alignment vertical="center"/>
    </xf>
    <xf numFmtId="0" fontId="17" fillId="0" borderId="55" xfId="0" applyFont="1" applyBorder="1" applyAlignment="1">
      <alignment vertical="center"/>
    </xf>
    <xf numFmtId="177" fontId="17" fillId="0" borderId="56" xfId="0" applyNumberFormat="1" applyFont="1" applyBorder="1" applyAlignment="1">
      <alignment vertical="center"/>
    </xf>
    <xf numFmtId="0" fontId="17" fillId="0" borderId="56" xfId="0" applyFont="1" applyBorder="1" applyAlignment="1">
      <alignment vertical="center"/>
    </xf>
    <xf numFmtId="0" fontId="17" fillId="0" borderId="57" xfId="0" applyFont="1" applyBorder="1" applyAlignment="1">
      <alignment vertical="center"/>
    </xf>
    <xf numFmtId="177" fontId="17" fillId="0" borderId="58" xfId="0" applyNumberFormat="1" applyFont="1" applyBorder="1" applyAlignment="1">
      <alignment vertical="center"/>
    </xf>
    <xf numFmtId="0" fontId="17" fillId="0" borderId="58" xfId="0" applyFont="1" applyBorder="1" applyAlignment="1">
      <alignment vertical="center"/>
    </xf>
    <xf numFmtId="177" fontId="17" fillId="0" borderId="52" xfId="0" applyNumberFormat="1" applyFont="1" applyBorder="1" applyAlignment="1">
      <alignment vertical="center"/>
    </xf>
    <xf numFmtId="0" fontId="51" fillId="0" borderId="59" xfId="0" applyFont="1" applyBorder="1" applyAlignment="1">
      <alignment vertical="center" wrapText="1"/>
    </xf>
    <xf numFmtId="0" fontId="51" fillId="0" borderId="42" xfId="0" applyFont="1" applyBorder="1" applyAlignment="1">
      <alignment vertical="center" wrapText="1"/>
    </xf>
    <xf numFmtId="0" fontId="0" fillId="0" borderId="59" xfId="0" applyFont="1" applyBorder="1" applyAlignment="1">
      <alignment vertical="center" wrapText="1"/>
    </xf>
    <xf numFmtId="0" fontId="51" fillId="0" borderId="3" xfId="0" applyFont="1" applyBorder="1" applyAlignment="1">
      <alignment vertical="center" wrapText="1"/>
    </xf>
    <xf numFmtId="0" fontId="51" fillId="0" borderId="50" xfId="0" applyFont="1" applyBorder="1" applyAlignment="1">
      <alignment vertical="center" wrapText="1"/>
    </xf>
    <xf numFmtId="0" fontId="0" fillId="0" borderId="50" xfId="0" applyFont="1" applyBorder="1" applyAlignment="1">
      <alignment vertical="center" wrapText="1"/>
    </xf>
    <xf numFmtId="0" fontId="53" fillId="25" borderId="50" xfId="0" applyFont="1" applyFill="1" applyBorder="1" applyAlignment="1">
      <alignment vertical="center" wrapText="1"/>
    </xf>
    <xf numFmtId="0" fontId="53" fillId="25" borderId="12" xfId="0" applyFont="1" applyFill="1" applyBorder="1" applyAlignment="1">
      <alignment vertical="center" wrapText="1"/>
    </xf>
    <xf numFmtId="0" fontId="53" fillId="25" borderId="50" xfId="0" applyFont="1" applyFill="1" applyBorder="1" applyAlignment="1">
      <alignment horizontal="center" vertical="center" wrapText="1"/>
    </xf>
    <xf numFmtId="0" fontId="53" fillId="25" borderId="12" xfId="0" applyFont="1" applyFill="1" applyBorder="1" applyAlignment="1">
      <alignment horizontal="center" vertical="center" wrapText="1"/>
    </xf>
    <xf numFmtId="0" fontId="51" fillId="0" borderId="12" xfId="0" applyFont="1" applyBorder="1" applyAlignment="1">
      <alignment vertical="center" wrapText="1"/>
    </xf>
    <xf numFmtId="0" fontId="55" fillId="25" borderId="50" xfId="0" applyFont="1" applyFill="1" applyBorder="1" applyAlignment="1">
      <alignment vertical="center" wrapText="1"/>
    </xf>
    <xf numFmtId="0" fontId="55" fillId="25" borderId="12" xfId="0" applyFont="1" applyFill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31" fillId="0" borderId="43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 wrapText="1"/>
    </xf>
    <xf numFmtId="0" fontId="31" fillId="0" borderId="45" xfId="0" applyFont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 wrapText="1"/>
    </xf>
    <xf numFmtId="0" fontId="30" fillId="0" borderId="44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48" fillId="25" borderId="10" xfId="0" applyFont="1" applyFill="1" applyBorder="1" applyAlignment="1">
      <alignment horizontal="center" vertical="center"/>
    </xf>
    <xf numFmtId="0" fontId="48" fillId="25" borderId="11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</cellXfs>
  <cellStyles count="27">
    <cellStyle name="_exec summary v1 4" xfId="21"/>
    <cellStyle name="Calculation 2" xfId="4"/>
    <cellStyle name="Check" xfId="22"/>
    <cellStyle name="CheckSimple" xfId="23"/>
    <cellStyle name="Comma" xfId="1" builtinId="3"/>
    <cellStyle name="DefinedName" xfId="9"/>
    <cellStyle name="DropDown" xfId="17"/>
    <cellStyle name="ErrorCheck_True" xfId="11"/>
    <cellStyle name="Explanatory Text 2" xfId="6"/>
    <cellStyle name="External" xfId="20"/>
    <cellStyle name="Formula" xfId="19"/>
    <cellStyle name="Input 2" xfId="10"/>
    <cellStyle name="Input_Dropdown" xfId="26"/>
    <cellStyle name="InputOptional" xfId="16"/>
    <cellStyle name="ModelHeading" xfId="12"/>
    <cellStyle name="ModelStages" xfId="13"/>
    <cellStyle name="ModelText1" xfId="3"/>
    <cellStyle name="Normal" xfId="0" builtinId="0"/>
    <cellStyle name="Normal 2" xfId="14"/>
    <cellStyle name="Normal_TNPM DRAFT Standard Template v0.1c" xfId="2"/>
    <cellStyle name="PageEnd" xfId="15"/>
    <cellStyle name="Percent 2" xfId="8"/>
    <cellStyle name="PrimaryCalc" xfId="7"/>
    <cellStyle name="Prime" xfId="18"/>
    <cellStyle name="Primedate" xfId="24"/>
    <cellStyle name="Style 1" xfId="25"/>
    <cellStyle name="UserInputs_General" xfId="5"/>
  </cellStyles>
  <dxfs count="73"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</font>
      <border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</font>
      <border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22"/>
        </patternFill>
      </fill>
      <border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</border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  <border>
        <top style="thin">
          <color indexed="52"/>
        </top>
        <bottom style="thin">
          <color indexed="52"/>
        </bottom>
      </border>
    </dxf>
    <dxf>
      <font>
        <condense val="0"/>
        <extend val="0"/>
        <color indexed="9"/>
      </font>
      <fill>
        <patternFill>
          <bgColor indexed="10"/>
        </patternFill>
      </fill>
      <border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  <border>
        <top style="thin">
          <color indexed="52"/>
        </top>
        <bottom style="thin">
          <color indexed="52"/>
        </bottom>
      </border>
    </dxf>
    <dxf>
      <font>
        <condense val="0"/>
        <extend val="0"/>
        <color indexed="9"/>
      </font>
      <fill>
        <patternFill>
          <bgColor indexed="10"/>
        </patternFill>
      </fill>
      <border>
        <top style="thin">
          <color indexed="10"/>
        </top>
        <bottom style="thin">
          <color indexed="10"/>
        </bottom>
      </border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22"/>
        </patternFill>
      </fill>
      <border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</border>
    </dxf>
  </dxfs>
  <tableStyles count="0" defaultTableStyle="TableStyleMedium2" defaultPivotStyle="PivotStyleLight16"/>
  <colors>
    <mruColors>
      <color rgb="FFCCFF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8</xdr:row>
      <xdr:rowOff>38100</xdr:rowOff>
    </xdr:from>
    <xdr:to>
      <xdr:col>4</xdr:col>
      <xdr:colOff>47625</xdr:colOff>
      <xdr:row>11</xdr:row>
      <xdr:rowOff>152400</xdr:rowOff>
    </xdr:to>
    <xdr:sp macro="" textlink="">
      <xdr:nvSpPr>
        <xdr:cNvPr id="2" name="Rounded Rectangle 1"/>
        <xdr:cNvSpPr/>
      </xdr:nvSpPr>
      <xdr:spPr>
        <a:xfrm>
          <a:off x="1276350" y="1562100"/>
          <a:ext cx="1209675" cy="685800"/>
        </a:xfrm>
        <a:prstGeom prst="roundRect">
          <a:avLst/>
        </a:prstGeom>
        <a:solidFill>
          <a:srgbClr val="FFFF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Model variable Inputs</a:t>
          </a:r>
        </a:p>
      </xdr:txBody>
    </xdr:sp>
    <xdr:clientData/>
  </xdr:twoCellAnchor>
  <xdr:twoCellAnchor>
    <xdr:from>
      <xdr:col>4</xdr:col>
      <xdr:colOff>200025</xdr:colOff>
      <xdr:row>4</xdr:row>
      <xdr:rowOff>0</xdr:rowOff>
    </xdr:from>
    <xdr:to>
      <xdr:col>6</xdr:col>
      <xdr:colOff>190500</xdr:colOff>
      <xdr:row>7</xdr:row>
      <xdr:rowOff>114300</xdr:rowOff>
    </xdr:to>
    <xdr:sp macro="" textlink="">
      <xdr:nvSpPr>
        <xdr:cNvPr id="3" name="Rounded Rectangle 2"/>
        <xdr:cNvSpPr/>
      </xdr:nvSpPr>
      <xdr:spPr>
        <a:xfrm>
          <a:off x="2638425" y="762000"/>
          <a:ext cx="1209675" cy="685800"/>
        </a:xfrm>
        <a:prstGeom prst="roundRect">
          <a:avLst/>
        </a:prstGeom>
        <a:solidFill>
          <a:srgbClr val="FFFF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Time</a:t>
          </a:r>
          <a:r>
            <a:rPr lang="en-GB" sz="1100" b="1" baseline="0">
              <a:solidFill>
                <a:sysClr val="windowText" lastClr="000000"/>
              </a:solidFill>
            </a:rPr>
            <a:t>-related Inputs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66675</xdr:colOff>
      <xdr:row>13</xdr:row>
      <xdr:rowOff>0</xdr:rowOff>
    </xdr:from>
    <xdr:to>
      <xdr:col>4</xdr:col>
      <xdr:colOff>57150</xdr:colOff>
      <xdr:row>16</xdr:row>
      <xdr:rowOff>114300</xdr:rowOff>
    </xdr:to>
    <xdr:sp macro="" textlink="">
      <xdr:nvSpPr>
        <xdr:cNvPr id="4" name="Rounded Rectangle 3"/>
        <xdr:cNvSpPr/>
      </xdr:nvSpPr>
      <xdr:spPr>
        <a:xfrm>
          <a:off x="1285875" y="2476500"/>
          <a:ext cx="1209675" cy="685800"/>
        </a:xfrm>
        <a:prstGeom prst="roundRect">
          <a:avLst/>
        </a:prstGeom>
        <a:solidFill>
          <a:srgbClr val="FFFF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Model-fixed</a:t>
          </a:r>
          <a:r>
            <a:rPr lang="en-GB" sz="1100" b="1" baseline="0">
              <a:solidFill>
                <a:sysClr val="windowText" lastClr="000000"/>
              </a:solidFill>
            </a:rPr>
            <a:t> Inputs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514350</xdr:colOff>
      <xdr:row>10</xdr:row>
      <xdr:rowOff>95250</xdr:rowOff>
    </xdr:from>
    <xdr:to>
      <xdr:col>9</xdr:col>
      <xdr:colOff>504825</xdr:colOff>
      <xdr:row>14</xdr:row>
      <xdr:rowOff>19050</xdr:rowOff>
    </xdr:to>
    <xdr:sp macro="" textlink="">
      <xdr:nvSpPr>
        <xdr:cNvPr id="5" name="Rounded Rectangle 4"/>
        <xdr:cNvSpPr/>
      </xdr:nvSpPr>
      <xdr:spPr>
        <a:xfrm>
          <a:off x="4781550" y="1619250"/>
          <a:ext cx="1209675" cy="6858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Workings</a:t>
          </a:r>
        </a:p>
      </xdr:txBody>
    </xdr:sp>
    <xdr:clientData/>
  </xdr:twoCellAnchor>
  <xdr:twoCellAnchor>
    <xdr:from>
      <xdr:col>12</xdr:col>
      <xdr:colOff>142875</xdr:colOff>
      <xdr:row>8</xdr:row>
      <xdr:rowOff>38100</xdr:rowOff>
    </xdr:from>
    <xdr:to>
      <xdr:col>14</xdr:col>
      <xdr:colOff>133350</xdr:colOff>
      <xdr:row>11</xdr:row>
      <xdr:rowOff>152400</xdr:rowOff>
    </xdr:to>
    <xdr:sp macro="" textlink="">
      <xdr:nvSpPr>
        <xdr:cNvPr id="6" name="Rounded Rectangle 5"/>
        <xdr:cNvSpPr/>
      </xdr:nvSpPr>
      <xdr:spPr>
        <a:xfrm>
          <a:off x="7458075" y="1562100"/>
          <a:ext cx="1209675" cy="6858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Report</a:t>
          </a:r>
          <a:r>
            <a:rPr lang="en-GB" sz="1100" b="1" baseline="0">
              <a:solidFill>
                <a:sysClr val="windowText" lastClr="000000"/>
              </a:solidFill>
            </a:rPr>
            <a:t> 1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142875</xdr:colOff>
      <xdr:row>12</xdr:row>
      <xdr:rowOff>161925</xdr:rowOff>
    </xdr:from>
    <xdr:to>
      <xdr:col>14</xdr:col>
      <xdr:colOff>133350</xdr:colOff>
      <xdr:row>16</xdr:row>
      <xdr:rowOff>85725</xdr:rowOff>
    </xdr:to>
    <xdr:sp macro="" textlink="">
      <xdr:nvSpPr>
        <xdr:cNvPr id="7" name="Rounded Rectangle 6"/>
        <xdr:cNvSpPr/>
      </xdr:nvSpPr>
      <xdr:spPr>
        <a:xfrm>
          <a:off x="7458075" y="2447925"/>
          <a:ext cx="1209675" cy="6858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Report</a:t>
          </a:r>
          <a:r>
            <a:rPr lang="en-GB" sz="1100" b="1" baseline="0">
              <a:solidFill>
                <a:sysClr val="windowText" lastClr="000000"/>
              </a:solidFill>
            </a:rPr>
            <a:t> 2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152400</xdr:rowOff>
    </xdr:from>
    <xdr:to>
      <xdr:col>8</xdr:col>
      <xdr:colOff>509588</xdr:colOff>
      <xdr:row>10</xdr:row>
      <xdr:rowOff>95250</xdr:rowOff>
    </xdr:to>
    <xdr:cxnSp macro="">
      <xdr:nvCxnSpPr>
        <xdr:cNvPr id="15" name="Elbow Connector 14"/>
        <xdr:cNvCxnSpPr>
          <a:stCxn id="3" idx="3"/>
          <a:endCxn id="5" idx="0"/>
        </xdr:cNvCxnSpPr>
      </xdr:nvCxnSpPr>
      <xdr:spPr>
        <a:xfrm>
          <a:off x="3848100" y="1104900"/>
          <a:ext cx="1538288" cy="89535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</xdr:colOff>
      <xdr:row>10</xdr:row>
      <xdr:rowOff>0</xdr:rowOff>
    </xdr:from>
    <xdr:to>
      <xdr:col>7</xdr:col>
      <xdr:colOff>514350</xdr:colOff>
      <xdr:row>12</xdr:row>
      <xdr:rowOff>57150</xdr:rowOff>
    </xdr:to>
    <xdr:cxnSp macro="">
      <xdr:nvCxnSpPr>
        <xdr:cNvPr id="17" name="Elbow Connector 16"/>
        <xdr:cNvCxnSpPr>
          <a:stCxn id="2" idx="3"/>
          <a:endCxn id="5" idx="1"/>
        </xdr:cNvCxnSpPr>
      </xdr:nvCxnSpPr>
      <xdr:spPr>
        <a:xfrm>
          <a:off x="2486025" y="1905000"/>
          <a:ext cx="2295525" cy="43815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12</xdr:row>
      <xdr:rowOff>57150</xdr:rowOff>
    </xdr:from>
    <xdr:to>
      <xdr:col>7</xdr:col>
      <xdr:colOff>514350</xdr:colOff>
      <xdr:row>14</xdr:row>
      <xdr:rowOff>152400</xdr:rowOff>
    </xdr:to>
    <xdr:cxnSp macro="">
      <xdr:nvCxnSpPr>
        <xdr:cNvPr id="19" name="Elbow Connector 18"/>
        <xdr:cNvCxnSpPr>
          <a:stCxn id="4" idx="3"/>
          <a:endCxn id="5" idx="1"/>
        </xdr:cNvCxnSpPr>
      </xdr:nvCxnSpPr>
      <xdr:spPr>
        <a:xfrm flipV="1">
          <a:off x="2495550" y="2343150"/>
          <a:ext cx="2286000" cy="47625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10</xdr:row>
      <xdr:rowOff>0</xdr:rowOff>
    </xdr:from>
    <xdr:to>
      <xdr:col>12</xdr:col>
      <xdr:colOff>142875</xdr:colOff>
      <xdr:row>12</xdr:row>
      <xdr:rowOff>57150</xdr:rowOff>
    </xdr:to>
    <xdr:cxnSp macro="">
      <xdr:nvCxnSpPr>
        <xdr:cNvPr id="21" name="Elbow Connector 20"/>
        <xdr:cNvCxnSpPr>
          <a:stCxn id="5" idx="3"/>
          <a:endCxn id="6" idx="1"/>
        </xdr:cNvCxnSpPr>
      </xdr:nvCxnSpPr>
      <xdr:spPr>
        <a:xfrm flipV="1">
          <a:off x="5991225" y="1905000"/>
          <a:ext cx="1466850" cy="43815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12</xdr:row>
      <xdr:rowOff>57150</xdr:rowOff>
    </xdr:from>
    <xdr:to>
      <xdr:col>12</xdr:col>
      <xdr:colOff>142875</xdr:colOff>
      <xdr:row>14</xdr:row>
      <xdr:rowOff>123825</xdr:rowOff>
    </xdr:to>
    <xdr:cxnSp macro="">
      <xdr:nvCxnSpPr>
        <xdr:cNvPr id="25" name="Elbow Connector 24"/>
        <xdr:cNvCxnSpPr>
          <a:stCxn id="5" idx="3"/>
          <a:endCxn id="7" idx="1"/>
        </xdr:cNvCxnSpPr>
      </xdr:nvCxnSpPr>
      <xdr:spPr>
        <a:xfrm>
          <a:off x="5991225" y="2343150"/>
          <a:ext cx="1466850" cy="447675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66675</xdr:colOff>
      <xdr:row>20</xdr:row>
      <xdr:rowOff>180975</xdr:rowOff>
    </xdr:from>
    <xdr:to>
      <xdr:col>4</xdr:col>
      <xdr:colOff>57150</xdr:colOff>
      <xdr:row>23</xdr:row>
      <xdr:rowOff>104775</xdr:rowOff>
    </xdr:to>
    <xdr:sp macro="" textlink="">
      <xdr:nvSpPr>
        <xdr:cNvPr id="26" name="Rounded Rectangle 25"/>
        <xdr:cNvSpPr/>
      </xdr:nvSpPr>
      <xdr:spPr>
        <a:xfrm>
          <a:off x="1285875" y="3990975"/>
          <a:ext cx="1209675" cy="4953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chemeClr val="bg1"/>
              </a:solidFill>
            </a:rPr>
            <a:t>Assumption</a:t>
          </a:r>
          <a:r>
            <a:rPr lang="en-GB" sz="1000" b="1" baseline="0">
              <a:solidFill>
                <a:schemeClr val="bg1"/>
              </a:solidFill>
            </a:rPr>
            <a:t> Register</a:t>
          </a:r>
          <a:endParaRPr lang="en-GB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95250</xdr:colOff>
      <xdr:row>21</xdr:row>
      <xdr:rowOff>0</xdr:rowOff>
    </xdr:from>
    <xdr:to>
      <xdr:col>6</xdr:col>
      <xdr:colOff>85725</xdr:colOff>
      <xdr:row>23</xdr:row>
      <xdr:rowOff>114300</xdr:rowOff>
    </xdr:to>
    <xdr:sp macro="" textlink="">
      <xdr:nvSpPr>
        <xdr:cNvPr id="27" name="Rounded Rectangle 26"/>
        <xdr:cNvSpPr/>
      </xdr:nvSpPr>
      <xdr:spPr>
        <a:xfrm>
          <a:off x="2533650" y="4000500"/>
          <a:ext cx="1209675" cy="4953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chemeClr val="bg1"/>
              </a:solidFill>
            </a:rPr>
            <a:t>Data Flow</a:t>
          </a:r>
        </a:p>
      </xdr:txBody>
    </xdr:sp>
    <xdr:clientData/>
  </xdr:twoCellAnchor>
  <xdr:twoCellAnchor>
    <xdr:from>
      <xdr:col>6</xdr:col>
      <xdr:colOff>123825</xdr:colOff>
      <xdr:row>21</xdr:row>
      <xdr:rowOff>0</xdr:rowOff>
    </xdr:from>
    <xdr:to>
      <xdr:col>8</xdr:col>
      <xdr:colOff>114300</xdr:colOff>
      <xdr:row>23</xdr:row>
      <xdr:rowOff>114300</xdr:rowOff>
    </xdr:to>
    <xdr:sp macro="" textlink="">
      <xdr:nvSpPr>
        <xdr:cNvPr id="29" name="Rounded Rectangle 28"/>
        <xdr:cNvSpPr/>
      </xdr:nvSpPr>
      <xdr:spPr>
        <a:xfrm>
          <a:off x="3781425" y="4000500"/>
          <a:ext cx="1209675" cy="4953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chemeClr val="bg1"/>
              </a:solidFill>
            </a:rPr>
            <a:t>Model Information</a:t>
          </a:r>
        </a:p>
      </xdr:txBody>
    </xdr:sp>
    <xdr:clientData/>
  </xdr:twoCellAnchor>
  <xdr:twoCellAnchor>
    <xdr:from>
      <xdr:col>8</xdr:col>
      <xdr:colOff>152400</xdr:colOff>
      <xdr:row>21</xdr:row>
      <xdr:rowOff>0</xdr:rowOff>
    </xdr:from>
    <xdr:to>
      <xdr:col>10</xdr:col>
      <xdr:colOff>142875</xdr:colOff>
      <xdr:row>23</xdr:row>
      <xdr:rowOff>114300</xdr:rowOff>
    </xdr:to>
    <xdr:sp macro="" textlink="">
      <xdr:nvSpPr>
        <xdr:cNvPr id="30" name="Rounded Rectangle 29"/>
        <xdr:cNvSpPr/>
      </xdr:nvSpPr>
      <xdr:spPr>
        <a:xfrm>
          <a:off x="5029200" y="4000500"/>
          <a:ext cx="1209675" cy="4953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chemeClr val="bg1"/>
              </a:solidFill>
            </a:rPr>
            <a:t>Error Checks</a:t>
          </a:r>
        </a:p>
      </xdr:txBody>
    </xdr:sp>
    <xdr:clientData/>
  </xdr:twoCellAnchor>
  <xdr:twoCellAnchor>
    <xdr:from>
      <xdr:col>10</xdr:col>
      <xdr:colOff>180975</xdr:colOff>
      <xdr:row>21</xdr:row>
      <xdr:rowOff>0</xdr:rowOff>
    </xdr:from>
    <xdr:to>
      <xdr:col>12</xdr:col>
      <xdr:colOff>171450</xdr:colOff>
      <xdr:row>23</xdr:row>
      <xdr:rowOff>114300</xdr:rowOff>
    </xdr:to>
    <xdr:sp macro="" textlink="">
      <xdr:nvSpPr>
        <xdr:cNvPr id="31" name="Rounded Rectangle 30"/>
        <xdr:cNvSpPr/>
      </xdr:nvSpPr>
      <xdr:spPr>
        <a:xfrm>
          <a:off x="6276975" y="4000500"/>
          <a:ext cx="1209675" cy="4953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chemeClr val="bg1"/>
              </a:solidFill>
            </a:rPr>
            <a:t>Change Control</a:t>
          </a:r>
        </a:p>
      </xdr:txBody>
    </xdr:sp>
    <xdr:clientData/>
  </xdr:twoCellAnchor>
  <xdr:twoCellAnchor>
    <xdr:from>
      <xdr:col>12</xdr:col>
      <xdr:colOff>209550</xdr:colOff>
      <xdr:row>20</xdr:row>
      <xdr:rowOff>180975</xdr:rowOff>
    </xdr:from>
    <xdr:to>
      <xdr:col>14</xdr:col>
      <xdr:colOff>200025</xdr:colOff>
      <xdr:row>23</xdr:row>
      <xdr:rowOff>104775</xdr:rowOff>
    </xdr:to>
    <xdr:sp macro="" textlink="">
      <xdr:nvSpPr>
        <xdr:cNvPr id="32" name="Rounded Rectangle 31"/>
        <xdr:cNvSpPr/>
      </xdr:nvSpPr>
      <xdr:spPr>
        <a:xfrm>
          <a:off x="7524750" y="3990975"/>
          <a:ext cx="1209675" cy="4953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chemeClr val="bg1"/>
              </a:solidFill>
            </a:rPr>
            <a:t>Model Integrity &amp; Stability</a:t>
          </a:r>
        </a:p>
      </xdr:txBody>
    </xdr:sp>
    <xdr:clientData/>
  </xdr:twoCellAnchor>
  <xdr:twoCellAnchor>
    <xdr:from>
      <xdr:col>1</xdr:col>
      <xdr:colOff>133350</xdr:colOff>
      <xdr:row>1</xdr:row>
      <xdr:rowOff>0</xdr:rowOff>
    </xdr:from>
    <xdr:to>
      <xdr:col>7</xdr:col>
      <xdr:colOff>9525</xdr:colOff>
      <xdr:row>18</xdr:row>
      <xdr:rowOff>95250</xdr:rowOff>
    </xdr:to>
    <xdr:sp macro="" textlink="">
      <xdr:nvSpPr>
        <xdr:cNvPr id="33" name="Rectangle 32"/>
        <xdr:cNvSpPr/>
      </xdr:nvSpPr>
      <xdr:spPr>
        <a:xfrm>
          <a:off x="742950" y="190500"/>
          <a:ext cx="3533775" cy="3333750"/>
        </a:xfrm>
        <a:prstGeom prst="rect">
          <a:avLst/>
        </a:prstGeom>
        <a:noFill/>
        <a:ln w="15875"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ysClr val="windowText" lastClr="000000"/>
              </a:solidFill>
            </a:rPr>
            <a:t>INPUTS</a:t>
          </a:r>
        </a:p>
      </xdr:txBody>
    </xdr:sp>
    <xdr:clientData/>
  </xdr:twoCellAnchor>
  <xdr:twoCellAnchor>
    <xdr:from>
      <xdr:col>7</xdr:col>
      <xdr:colOff>257176</xdr:colOff>
      <xdr:row>0</xdr:row>
      <xdr:rowOff>180975</xdr:rowOff>
    </xdr:from>
    <xdr:to>
      <xdr:col>10</xdr:col>
      <xdr:colOff>238126</xdr:colOff>
      <xdr:row>18</xdr:row>
      <xdr:rowOff>85725</xdr:rowOff>
    </xdr:to>
    <xdr:sp macro="" textlink="">
      <xdr:nvSpPr>
        <xdr:cNvPr id="34" name="Rectangle 33"/>
        <xdr:cNvSpPr/>
      </xdr:nvSpPr>
      <xdr:spPr>
        <a:xfrm>
          <a:off x="4524376" y="180975"/>
          <a:ext cx="1809750" cy="3333750"/>
        </a:xfrm>
        <a:prstGeom prst="rect">
          <a:avLst/>
        </a:prstGeom>
        <a:noFill/>
        <a:ln w="15875"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ysClr val="windowText" lastClr="000000"/>
              </a:solidFill>
            </a:rPr>
            <a:t>CALCULATIONS</a:t>
          </a:r>
        </a:p>
      </xdr:txBody>
    </xdr:sp>
    <xdr:clientData/>
  </xdr:twoCellAnchor>
  <xdr:twoCellAnchor>
    <xdr:from>
      <xdr:col>10</xdr:col>
      <xdr:colOff>485774</xdr:colOff>
      <xdr:row>1</xdr:row>
      <xdr:rowOff>0</xdr:rowOff>
    </xdr:from>
    <xdr:to>
      <xdr:col>14</xdr:col>
      <xdr:colOff>380999</xdr:colOff>
      <xdr:row>18</xdr:row>
      <xdr:rowOff>95250</xdr:rowOff>
    </xdr:to>
    <xdr:sp macro="" textlink="">
      <xdr:nvSpPr>
        <xdr:cNvPr id="35" name="Rectangle 34"/>
        <xdr:cNvSpPr/>
      </xdr:nvSpPr>
      <xdr:spPr>
        <a:xfrm>
          <a:off x="6581774" y="190500"/>
          <a:ext cx="2333625" cy="3333750"/>
        </a:xfrm>
        <a:prstGeom prst="rect">
          <a:avLst/>
        </a:prstGeom>
        <a:noFill/>
        <a:ln w="15875"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ysClr val="windowText" lastClr="000000"/>
              </a:solidFill>
            </a:rPr>
            <a:t>OUTPUTS</a:t>
          </a:r>
        </a:p>
      </xdr:txBody>
    </xdr:sp>
    <xdr:clientData/>
  </xdr:twoCellAnchor>
  <xdr:twoCellAnchor>
    <xdr:from>
      <xdr:col>1</xdr:col>
      <xdr:colOff>95250</xdr:colOff>
      <xdr:row>20</xdr:row>
      <xdr:rowOff>0</xdr:rowOff>
    </xdr:from>
    <xdr:to>
      <xdr:col>14</xdr:col>
      <xdr:colOff>400050</xdr:colOff>
      <xdr:row>25</xdr:row>
      <xdr:rowOff>171450</xdr:rowOff>
    </xdr:to>
    <xdr:sp macro="" textlink="">
      <xdr:nvSpPr>
        <xdr:cNvPr id="36" name="Rectangle 35"/>
        <xdr:cNvSpPr/>
      </xdr:nvSpPr>
      <xdr:spPr>
        <a:xfrm>
          <a:off x="704850" y="3810000"/>
          <a:ext cx="8229600" cy="1123950"/>
        </a:xfrm>
        <a:prstGeom prst="rect">
          <a:avLst/>
        </a:prstGeom>
        <a:noFill/>
        <a:ln w="15875"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ysClr val="windowText" lastClr="000000"/>
              </a:solidFill>
            </a:rPr>
            <a:t>ADMIN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10584</xdr:colOff>
      <xdr:row>11</xdr:row>
      <xdr:rowOff>116417</xdr:rowOff>
    </xdr:from>
    <xdr:to>
      <xdr:col>9</xdr:col>
      <xdr:colOff>275167</xdr:colOff>
      <xdr:row>15</xdr:row>
      <xdr:rowOff>116417</xdr:rowOff>
    </xdr:to>
    <xdr:sp macro="" textlink="">
      <xdr:nvSpPr>
        <xdr:cNvPr id="2" name="Notched Right Arrow 1"/>
        <xdr:cNvSpPr/>
      </xdr:nvSpPr>
      <xdr:spPr>
        <a:xfrm>
          <a:off x="5365751" y="2222500"/>
          <a:ext cx="920749" cy="762000"/>
        </a:xfrm>
        <a:prstGeom prst="notched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31758</xdr:colOff>
      <xdr:row>11</xdr:row>
      <xdr:rowOff>169340</xdr:rowOff>
    </xdr:from>
    <xdr:to>
      <xdr:col>18</xdr:col>
      <xdr:colOff>444500</xdr:colOff>
      <xdr:row>15</xdr:row>
      <xdr:rowOff>169340</xdr:rowOff>
    </xdr:to>
    <xdr:sp macro="" textlink="">
      <xdr:nvSpPr>
        <xdr:cNvPr id="3" name="Notched Right Arrow 2"/>
        <xdr:cNvSpPr/>
      </xdr:nvSpPr>
      <xdr:spPr>
        <a:xfrm>
          <a:off x="10699758" y="2275423"/>
          <a:ext cx="963075" cy="762000"/>
        </a:xfrm>
        <a:prstGeom prst="notched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17</xdr:row>
      <xdr:rowOff>0</xdr:rowOff>
    </xdr:from>
    <xdr:to>
      <xdr:col>8</xdr:col>
      <xdr:colOff>634998</xdr:colOff>
      <xdr:row>21</xdr:row>
      <xdr:rowOff>0</xdr:rowOff>
    </xdr:to>
    <xdr:sp macro="" textlink="">
      <xdr:nvSpPr>
        <xdr:cNvPr id="4" name="Notched Right Arrow 3"/>
        <xdr:cNvSpPr/>
      </xdr:nvSpPr>
      <xdr:spPr>
        <a:xfrm>
          <a:off x="5397499" y="3249083"/>
          <a:ext cx="920749" cy="762000"/>
        </a:xfrm>
        <a:prstGeom prst="notched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63501</xdr:colOff>
      <xdr:row>17</xdr:row>
      <xdr:rowOff>21166</xdr:rowOff>
    </xdr:from>
    <xdr:to>
      <xdr:col>16</xdr:col>
      <xdr:colOff>550334</xdr:colOff>
      <xdr:row>21</xdr:row>
      <xdr:rowOff>21166</xdr:rowOff>
    </xdr:to>
    <xdr:sp macro="" textlink="">
      <xdr:nvSpPr>
        <xdr:cNvPr id="5" name="Notched Right Arrow 4"/>
        <xdr:cNvSpPr/>
      </xdr:nvSpPr>
      <xdr:spPr>
        <a:xfrm>
          <a:off x="11408834" y="3270249"/>
          <a:ext cx="952500" cy="762000"/>
        </a:xfrm>
        <a:prstGeom prst="notched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252941</xdr:colOff>
      <xdr:row>1</xdr:row>
      <xdr:rowOff>50800</xdr:rowOff>
    </xdr:from>
    <xdr:to>
      <xdr:col>3</xdr:col>
      <xdr:colOff>557742</xdr:colOff>
      <xdr:row>3</xdr:row>
      <xdr:rowOff>174625</xdr:rowOff>
    </xdr:to>
    <xdr:sp macro="" textlink="">
      <xdr:nvSpPr>
        <xdr:cNvPr id="2" name="Rounded Rectangle 1"/>
        <xdr:cNvSpPr/>
      </xdr:nvSpPr>
      <xdr:spPr>
        <a:xfrm>
          <a:off x="1480608" y="241300"/>
          <a:ext cx="918634" cy="50482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Solution</a:t>
          </a:r>
        </a:p>
      </xdr:txBody>
    </xdr:sp>
    <xdr:clientData/>
  </xdr:twoCellAnchor>
  <xdr:twoCellAnchor>
    <xdr:from>
      <xdr:col>2</xdr:col>
      <xdr:colOff>251885</xdr:colOff>
      <xdr:row>6</xdr:row>
      <xdr:rowOff>123825</xdr:rowOff>
    </xdr:from>
    <xdr:to>
      <xdr:col>3</xdr:col>
      <xdr:colOff>556686</xdr:colOff>
      <xdr:row>9</xdr:row>
      <xdr:rowOff>57150</xdr:rowOff>
    </xdr:to>
    <xdr:sp macro="" textlink="">
      <xdr:nvSpPr>
        <xdr:cNvPr id="3" name="Rounded Rectangle 2"/>
        <xdr:cNvSpPr/>
      </xdr:nvSpPr>
      <xdr:spPr>
        <a:xfrm>
          <a:off x="1479552" y="1266825"/>
          <a:ext cx="918634" cy="50482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 Solution</a:t>
          </a:r>
        </a:p>
        <a:p>
          <a:pPr algn="ctr"/>
          <a:r>
            <a:rPr lang="en-GB" sz="1000" b="1"/>
            <a:t>Description</a:t>
          </a:r>
        </a:p>
      </xdr:txBody>
    </xdr:sp>
    <xdr:clientData/>
  </xdr:twoCellAnchor>
  <xdr:twoCellAnchor>
    <xdr:from>
      <xdr:col>7</xdr:col>
      <xdr:colOff>356658</xdr:colOff>
      <xdr:row>6</xdr:row>
      <xdr:rowOff>57146</xdr:rowOff>
    </xdr:from>
    <xdr:to>
      <xdr:col>9</xdr:col>
      <xdr:colOff>47625</xdr:colOff>
      <xdr:row>9</xdr:row>
      <xdr:rowOff>123821</xdr:rowOff>
    </xdr:to>
    <xdr:sp macro="" textlink="">
      <xdr:nvSpPr>
        <xdr:cNvPr id="4" name="Rounded Rectangle 3"/>
        <xdr:cNvSpPr/>
      </xdr:nvSpPr>
      <xdr:spPr>
        <a:xfrm>
          <a:off x="4653491" y="1200146"/>
          <a:ext cx="918634" cy="63817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Identify assessment methods</a:t>
          </a:r>
        </a:p>
      </xdr:txBody>
    </xdr:sp>
    <xdr:clientData/>
  </xdr:twoCellAnchor>
  <xdr:twoCellAnchor>
    <xdr:from>
      <xdr:col>2</xdr:col>
      <xdr:colOff>0</xdr:colOff>
      <xdr:row>13</xdr:row>
      <xdr:rowOff>10577</xdr:rowOff>
    </xdr:from>
    <xdr:to>
      <xdr:col>3</xdr:col>
      <xdr:colOff>304800</xdr:colOff>
      <xdr:row>16</xdr:row>
      <xdr:rowOff>77252</xdr:rowOff>
    </xdr:to>
    <xdr:sp macro="" textlink="">
      <xdr:nvSpPr>
        <xdr:cNvPr id="12" name="Rounded Rectangle 11"/>
        <xdr:cNvSpPr/>
      </xdr:nvSpPr>
      <xdr:spPr>
        <a:xfrm>
          <a:off x="1227667" y="2487077"/>
          <a:ext cx="918633" cy="63817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Identify expected results</a:t>
          </a:r>
        </a:p>
      </xdr:txBody>
    </xdr:sp>
    <xdr:clientData/>
  </xdr:twoCellAnchor>
  <xdr:twoCellAnchor>
    <xdr:from>
      <xdr:col>3</xdr:col>
      <xdr:colOff>508000</xdr:colOff>
      <xdr:row>13</xdr:row>
      <xdr:rowOff>21161</xdr:rowOff>
    </xdr:from>
    <xdr:to>
      <xdr:col>5</xdr:col>
      <xdr:colOff>198966</xdr:colOff>
      <xdr:row>16</xdr:row>
      <xdr:rowOff>87836</xdr:rowOff>
    </xdr:to>
    <xdr:sp macro="" textlink="">
      <xdr:nvSpPr>
        <xdr:cNvPr id="13" name="Rounded Rectangle 12"/>
        <xdr:cNvSpPr/>
      </xdr:nvSpPr>
      <xdr:spPr>
        <a:xfrm>
          <a:off x="2349500" y="2497661"/>
          <a:ext cx="918633" cy="63817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Build assessment routines</a:t>
          </a:r>
        </a:p>
      </xdr:txBody>
    </xdr:sp>
    <xdr:clientData/>
  </xdr:twoCellAnchor>
  <xdr:twoCellAnchor>
    <xdr:from>
      <xdr:col>6</xdr:col>
      <xdr:colOff>579968</xdr:colOff>
      <xdr:row>17</xdr:row>
      <xdr:rowOff>23271</xdr:rowOff>
    </xdr:from>
    <xdr:to>
      <xdr:col>8</xdr:col>
      <xdr:colOff>270935</xdr:colOff>
      <xdr:row>20</xdr:row>
      <xdr:rowOff>89946</xdr:rowOff>
    </xdr:to>
    <xdr:sp macro="" textlink="">
      <xdr:nvSpPr>
        <xdr:cNvPr id="14" name="Rounded Rectangle 13"/>
        <xdr:cNvSpPr/>
      </xdr:nvSpPr>
      <xdr:spPr>
        <a:xfrm>
          <a:off x="4262968" y="3261771"/>
          <a:ext cx="918634" cy="63817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 Feasibility assessment</a:t>
          </a:r>
        </a:p>
      </xdr:txBody>
    </xdr:sp>
    <xdr:clientData/>
  </xdr:twoCellAnchor>
  <xdr:twoCellAnchor>
    <xdr:from>
      <xdr:col>6</xdr:col>
      <xdr:colOff>582084</xdr:colOff>
      <xdr:row>22</xdr:row>
      <xdr:rowOff>116404</xdr:rowOff>
    </xdr:from>
    <xdr:to>
      <xdr:col>8</xdr:col>
      <xdr:colOff>273051</xdr:colOff>
      <xdr:row>25</xdr:row>
      <xdr:rowOff>183079</xdr:rowOff>
    </xdr:to>
    <xdr:sp macro="" textlink="">
      <xdr:nvSpPr>
        <xdr:cNvPr id="15" name="Rounded Rectangle 14"/>
        <xdr:cNvSpPr/>
      </xdr:nvSpPr>
      <xdr:spPr>
        <a:xfrm>
          <a:off x="4265084" y="4307404"/>
          <a:ext cx="918634" cy="63817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Results measured</a:t>
          </a:r>
        </a:p>
      </xdr:txBody>
    </xdr:sp>
    <xdr:clientData/>
  </xdr:twoCellAnchor>
  <xdr:twoCellAnchor>
    <xdr:from>
      <xdr:col>10</xdr:col>
      <xdr:colOff>423408</xdr:colOff>
      <xdr:row>22</xdr:row>
      <xdr:rowOff>116409</xdr:rowOff>
    </xdr:from>
    <xdr:to>
      <xdr:col>12</xdr:col>
      <xdr:colOff>114375</xdr:colOff>
      <xdr:row>25</xdr:row>
      <xdr:rowOff>183084</xdr:rowOff>
    </xdr:to>
    <xdr:sp macro="" textlink="">
      <xdr:nvSpPr>
        <xdr:cNvPr id="16" name="Rounded Rectangle 15"/>
        <xdr:cNvSpPr/>
      </xdr:nvSpPr>
      <xdr:spPr>
        <a:xfrm>
          <a:off x="6561741" y="4307409"/>
          <a:ext cx="918634" cy="63817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Compare actual to planned</a:t>
          </a:r>
        </a:p>
      </xdr:txBody>
    </xdr:sp>
    <xdr:clientData/>
  </xdr:twoCellAnchor>
  <xdr:twoCellAnchor>
    <xdr:from>
      <xdr:col>10</xdr:col>
      <xdr:colOff>423407</xdr:colOff>
      <xdr:row>29</xdr:row>
      <xdr:rowOff>126995</xdr:rowOff>
    </xdr:from>
    <xdr:to>
      <xdr:col>12</xdr:col>
      <xdr:colOff>114374</xdr:colOff>
      <xdr:row>33</xdr:row>
      <xdr:rowOff>3170</xdr:rowOff>
    </xdr:to>
    <xdr:sp macro="" textlink="">
      <xdr:nvSpPr>
        <xdr:cNvPr id="17" name="Rounded Rectangle 16"/>
        <xdr:cNvSpPr/>
      </xdr:nvSpPr>
      <xdr:spPr>
        <a:xfrm>
          <a:off x="6561740" y="5651495"/>
          <a:ext cx="918634" cy="638175"/>
        </a:xfrm>
        <a:prstGeom prst="roundRect">
          <a:avLst/>
        </a:prstGeom>
        <a:solidFill>
          <a:srgbClr val="CCFFFF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/>
            <a:t>Document solution</a:t>
          </a:r>
        </a:p>
      </xdr:txBody>
    </xdr:sp>
    <xdr:clientData/>
  </xdr:twoCellAnchor>
  <xdr:twoCellAnchor>
    <xdr:from>
      <xdr:col>3</xdr:col>
      <xdr:colOff>97369</xdr:colOff>
      <xdr:row>3</xdr:row>
      <xdr:rowOff>174625</xdr:rowOff>
    </xdr:from>
    <xdr:to>
      <xdr:col>3</xdr:col>
      <xdr:colOff>98425</xdr:colOff>
      <xdr:row>6</xdr:row>
      <xdr:rowOff>123825</xdr:rowOff>
    </xdr:to>
    <xdr:cxnSp macro="">
      <xdr:nvCxnSpPr>
        <xdr:cNvPr id="21" name="Elbow Connector 20"/>
        <xdr:cNvCxnSpPr>
          <a:stCxn id="2" idx="2"/>
          <a:endCxn id="3" idx="0"/>
        </xdr:cNvCxnSpPr>
      </xdr:nvCxnSpPr>
      <xdr:spPr>
        <a:xfrm rot="5400000">
          <a:off x="1679047" y="1005947"/>
          <a:ext cx="520700" cy="1056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459317</xdr:colOff>
      <xdr:row>9</xdr:row>
      <xdr:rowOff>123821</xdr:rowOff>
    </xdr:from>
    <xdr:to>
      <xdr:col>8</xdr:col>
      <xdr:colOff>202141</xdr:colOff>
      <xdr:row>13</xdr:row>
      <xdr:rowOff>10577</xdr:rowOff>
    </xdr:to>
    <xdr:cxnSp macro="">
      <xdr:nvCxnSpPr>
        <xdr:cNvPr id="25" name="Elbow Connector 24"/>
        <xdr:cNvCxnSpPr>
          <a:stCxn id="4" idx="2"/>
          <a:endCxn id="12" idx="0"/>
        </xdr:cNvCxnSpPr>
      </xdr:nvCxnSpPr>
      <xdr:spPr>
        <a:xfrm rot="5400000">
          <a:off x="3075518" y="449787"/>
          <a:ext cx="648756" cy="3425824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353484</xdr:colOff>
      <xdr:row>9</xdr:row>
      <xdr:rowOff>123822</xdr:rowOff>
    </xdr:from>
    <xdr:to>
      <xdr:col>8</xdr:col>
      <xdr:colOff>202141</xdr:colOff>
      <xdr:row>13</xdr:row>
      <xdr:rowOff>21162</xdr:rowOff>
    </xdr:to>
    <xdr:cxnSp macro="">
      <xdr:nvCxnSpPr>
        <xdr:cNvPr id="27" name="Elbow Connector 26"/>
        <xdr:cNvCxnSpPr>
          <a:stCxn id="4" idx="2"/>
          <a:endCxn id="13" idx="0"/>
        </xdr:cNvCxnSpPr>
      </xdr:nvCxnSpPr>
      <xdr:spPr>
        <a:xfrm rot="5400000">
          <a:off x="3631143" y="1015996"/>
          <a:ext cx="659340" cy="2303991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459317</xdr:colOff>
      <xdr:row>16</xdr:row>
      <xdr:rowOff>77251</xdr:rowOff>
    </xdr:from>
    <xdr:to>
      <xdr:col>7</xdr:col>
      <xdr:colOff>425452</xdr:colOff>
      <xdr:row>17</xdr:row>
      <xdr:rowOff>23270</xdr:rowOff>
    </xdr:to>
    <xdr:cxnSp macro="">
      <xdr:nvCxnSpPr>
        <xdr:cNvPr id="29" name="Elbow Connector 28"/>
        <xdr:cNvCxnSpPr>
          <a:stCxn id="12" idx="2"/>
          <a:endCxn id="14" idx="0"/>
        </xdr:cNvCxnSpPr>
      </xdr:nvCxnSpPr>
      <xdr:spPr>
        <a:xfrm rot="16200000" flipH="1">
          <a:off x="3136375" y="1675860"/>
          <a:ext cx="136519" cy="3035301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353485</xdr:colOff>
      <xdr:row>16</xdr:row>
      <xdr:rowOff>87835</xdr:rowOff>
    </xdr:from>
    <xdr:to>
      <xdr:col>7</xdr:col>
      <xdr:colOff>425453</xdr:colOff>
      <xdr:row>17</xdr:row>
      <xdr:rowOff>23270</xdr:rowOff>
    </xdr:to>
    <xdr:cxnSp macro="">
      <xdr:nvCxnSpPr>
        <xdr:cNvPr id="31" name="Elbow Connector 30"/>
        <xdr:cNvCxnSpPr>
          <a:stCxn id="13" idx="2"/>
          <a:endCxn id="14" idx="0"/>
        </xdr:cNvCxnSpPr>
      </xdr:nvCxnSpPr>
      <xdr:spPr>
        <a:xfrm rot="16200000" flipH="1">
          <a:off x="3702584" y="2242069"/>
          <a:ext cx="125935" cy="191346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425452</xdr:colOff>
      <xdr:row>20</xdr:row>
      <xdr:rowOff>89946</xdr:rowOff>
    </xdr:from>
    <xdr:to>
      <xdr:col>7</xdr:col>
      <xdr:colOff>427568</xdr:colOff>
      <xdr:row>22</xdr:row>
      <xdr:rowOff>116404</xdr:rowOff>
    </xdr:to>
    <xdr:cxnSp macro="">
      <xdr:nvCxnSpPr>
        <xdr:cNvPr id="35" name="Elbow Connector 34"/>
        <xdr:cNvCxnSpPr>
          <a:stCxn id="14" idx="2"/>
          <a:endCxn id="15" idx="0"/>
        </xdr:cNvCxnSpPr>
      </xdr:nvCxnSpPr>
      <xdr:spPr>
        <a:xfrm rot="16200000" flipH="1">
          <a:off x="4519614" y="4102617"/>
          <a:ext cx="407458" cy="2116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268891</xdr:colOff>
      <xdr:row>25</xdr:row>
      <xdr:rowOff>183084</xdr:rowOff>
    </xdr:from>
    <xdr:to>
      <xdr:col>11</xdr:col>
      <xdr:colOff>268892</xdr:colOff>
      <xdr:row>29</xdr:row>
      <xdr:rowOff>126995</xdr:rowOff>
    </xdr:to>
    <xdr:cxnSp macro="">
      <xdr:nvCxnSpPr>
        <xdr:cNvPr id="39" name="Elbow Connector 38"/>
        <xdr:cNvCxnSpPr>
          <a:stCxn id="16" idx="2"/>
          <a:endCxn id="17" idx="0"/>
        </xdr:cNvCxnSpPr>
      </xdr:nvCxnSpPr>
      <xdr:spPr>
        <a:xfrm rot="5400000">
          <a:off x="6668103" y="5298539"/>
          <a:ext cx="705911" cy="1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557742</xdr:colOff>
      <xdr:row>2</xdr:row>
      <xdr:rowOff>112713</xdr:rowOff>
    </xdr:from>
    <xdr:to>
      <xdr:col>12</xdr:col>
      <xdr:colOff>114375</xdr:colOff>
      <xdr:row>24</xdr:row>
      <xdr:rowOff>54497</xdr:rowOff>
    </xdr:to>
    <xdr:cxnSp macro="">
      <xdr:nvCxnSpPr>
        <xdr:cNvPr id="43" name="Elbow Connector 42"/>
        <xdr:cNvCxnSpPr>
          <a:stCxn id="16" idx="3"/>
          <a:endCxn id="2" idx="3"/>
        </xdr:cNvCxnSpPr>
      </xdr:nvCxnSpPr>
      <xdr:spPr>
        <a:xfrm flipH="1" flipV="1">
          <a:off x="2399242" y="493713"/>
          <a:ext cx="5081133" cy="4132784"/>
        </a:xfrm>
        <a:prstGeom prst="bentConnector3">
          <a:avLst>
            <a:gd name="adj1" fmla="val -4499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433916</xdr:colOff>
      <xdr:row>12</xdr:row>
      <xdr:rowOff>95250</xdr:rowOff>
    </xdr:from>
    <xdr:to>
      <xdr:col>14</xdr:col>
      <xdr:colOff>232832</xdr:colOff>
      <xdr:row>13</xdr:row>
      <xdr:rowOff>105833</xdr:rowOff>
    </xdr:to>
    <xdr:sp macro="" textlink="">
      <xdr:nvSpPr>
        <xdr:cNvPr id="45" name="TextBox 44"/>
        <xdr:cNvSpPr txBox="1"/>
      </xdr:nvSpPr>
      <xdr:spPr>
        <a:xfrm>
          <a:off x="7799916" y="2381250"/>
          <a:ext cx="1026583" cy="2010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="1"/>
            <a:t>Results Not OK</a:t>
          </a:r>
        </a:p>
      </xdr:txBody>
    </xdr:sp>
    <xdr:clientData/>
  </xdr:twoCellAnchor>
  <xdr:twoCellAnchor>
    <xdr:from>
      <xdr:col>9</xdr:col>
      <xdr:colOff>275166</xdr:colOff>
      <xdr:row>27</xdr:row>
      <xdr:rowOff>21167</xdr:rowOff>
    </xdr:from>
    <xdr:to>
      <xdr:col>11</xdr:col>
      <xdr:colOff>74082</xdr:colOff>
      <xdr:row>28</xdr:row>
      <xdr:rowOff>31750</xdr:rowOff>
    </xdr:to>
    <xdr:sp macro="" textlink="">
      <xdr:nvSpPr>
        <xdr:cNvPr id="46" name="TextBox 45"/>
        <xdr:cNvSpPr txBox="1"/>
      </xdr:nvSpPr>
      <xdr:spPr>
        <a:xfrm>
          <a:off x="5799666" y="5164667"/>
          <a:ext cx="1026583" cy="2010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="1"/>
            <a:t>Results OK</a:t>
          </a:r>
        </a:p>
      </xdr:txBody>
    </xdr:sp>
    <xdr:clientData/>
  </xdr:twoCellAnchor>
  <xdr:twoCellAnchor>
    <xdr:from>
      <xdr:col>8</xdr:col>
      <xdr:colOff>273051</xdr:colOff>
      <xdr:row>24</xdr:row>
      <xdr:rowOff>54492</xdr:rowOff>
    </xdr:from>
    <xdr:to>
      <xdr:col>10</xdr:col>
      <xdr:colOff>423408</xdr:colOff>
      <xdr:row>24</xdr:row>
      <xdr:rowOff>54497</xdr:rowOff>
    </xdr:to>
    <xdr:cxnSp macro="">
      <xdr:nvCxnSpPr>
        <xdr:cNvPr id="67" name="Elbow Connector 66"/>
        <xdr:cNvCxnSpPr>
          <a:stCxn id="15" idx="3"/>
          <a:endCxn id="16" idx="1"/>
        </xdr:cNvCxnSpPr>
      </xdr:nvCxnSpPr>
      <xdr:spPr>
        <a:xfrm>
          <a:off x="5183718" y="4626492"/>
          <a:ext cx="1378023" cy="5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556686</xdr:colOff>
      <xdr:row>7</xdr:row>
      <xdr:rowOff>185734</xdr:rowOff>
    </xdr:from>
    <xdr:to>
      <xdr:col>7</xdr:col>
      <xdr:colOff>356658</xdr:colOff>
      <xdr:row>7</xdr:row>
      <xdr:rowOff>185738</xdr:rowOff>
    </xdr:to>
    <xdr:cxnSp macro="">
      <xdr:nvCxnSpPr>
        <xdr:cNvPr id="69" name="Elbow Connector 68"/>
        <xdr:cNvCxnSpPr>
          <a:stCxn id="3" idx="3"/>
          <a:endCxn id="4" idx="1"/>
        </xdr:cNvCxnSpPr>
      </xdr:nvCxnSpPr>
      <xdr:spPr>
        <a:xfrm flipV="1">
          <a:off x="2398186" y="1519234"/>
          <a:ext cx="2255305" cy="4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esktop/Modelling%20book_ja/Book1/IPM_Pricing_v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structions &amp; Notes"/>
      <sheetName val="Styles"/>
      <sheetName val="Contents"/>
      <sheetName val="Model Logic"/>
      <sheetName val="Error Checks"/>
      <sheetName val="Constants"/>
      <sheetName val="Timelines"/>
      <sheetName val="Main Input"/>
      <sheetName val="Conversion"/>
      <sheetName val="Capital"/>
      <sheetName val="Cost Plus"/>
      <sheetName val="Customer Charges"/>
      <sheetName val="Profile before CoM"/>
      <sheetName val="CoM"/>
      <sheetName val="Profile with CoM"/>
      <sheetName val="Final Price"/>
      <sheetName val="Service Prices"/>
      <sheetName val="Financial Dashboard"/>
      <sheetName val="Interface"/>
      <sheetName val="Audit"/>
      <sheetName val="Change Control"/>
      <sheetName val="End"/>
    </sheetNames>
    <sheetDataSet>
      <sheetData sheetId="0"/>
      <sheetData sheetId="1">
        <row r="1">
          <cell r="A1" t="str">
            <v>IPM_Pricing_v1.2.xlsm</v>
          </cell>
        </row>
      </sheetData>
      <sheetData sheetId="2">
        <row r="4">
          <cell r="A4" t="str">
            <v>Styles</v>
          </cell>
        </row>
      </sheetData>
      <sheetData sheetId="3">
        <row r="4">
          <cell r="A4" t="str">
            <v>Contents</v>
          </cell>
        </row>
      </sheetData>
      <sheetData sheetId="4">
        <row r="4">
          <cell r="A4" t="str">
            <v>Model Logic</v>
          </cell>
        </row>
      </sheetData>
      <sheetData sheetId="5">
        <row r="1">
          <cell r="E1">
            <v>0</v>
          </cell>
        </row>
      </sheetData>
      <sheetData sheetId="6">
        <row r="1">
          <cell r="D1">
            <v>0</v>
          </cell>
        </row>
      </sheetData>
      <sheetData sheetId="7">
        <row r="1">
          <cell r="F1">
            <v>0</v>
          </cell>
        </row>
      </sheetData>
      <sheetData sheetId="8">
        <row r="1">
          <cell r="D1">
            <v>0</v>
          </cell>
        </row>
      </sheetData>
      <sheetData sheetId="9">
        <row r="1">
          <cell r="D1">
            <v>0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>
            <v>0</v>
          </cell>
        </row>
      </sheetData>
      <sheetData sheetId="10">
        <row r="1">
          <cell r="AD1">
            <v>0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>
            <v>0</v>
          </cell>
        </row>
      </sheetData>
      <sheetData sheetId="11">
        <row r="1">
          <cell r="D1">
            <v>0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>
            <v>0</v>
          </cell>
        </row>
      </sheetData>
      <sheetData sheetId="12">
        <row r="1">
          <cell r="D1">
            <v>0</v>
          </cell>
        </row>
      </sheetData>
      <sheetData sheetId="13">
        <row r="1">
          <cell r="D1">
            <v>0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>
            <v>0</v>
          </cell>
        </row>
      </sheetData>
      <sheetData sheetId="14">
        <row r="1">
          <cell r="D1">
            <v>0</v>
          </cell>
        </row>
      </sheetData>
      <sheetData sheetId="15">
        <row r="1">
          <cell r="D1">
            <v>0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>
            <v>0</v>
          </cell>
        </row>
      </sheetData>
      <sheetData sheetId="16">
        <row r="1">
          <cell r="D1">
            <v>0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>
            <v>0</v>
          </cell>
        </row>
      </sheetData>
      <sheetData sheetId="17">
        <row r="1">
          <cell r="D1">
            <v>0</v>
          </cell>
        </row>
      </sheetData>
      <sheetData sheetId="18">
        <row r="1">
          <cell r="F1">
            <v>0</v>
          </cell>
        </row>
      </sheetData>
      <sheetData sheetId="19">
        <row r="1">
          <cell r="D1">
            <v>0</v>
          </cell>
        </row>
      </sheetData>
      <sheetData sheetId="20">
        <row r="1">
          <cell r="F1">
            <v>0</v>
          </cell>
        </row>
      </sheetData>
      <sheetData sheetId="21">
        <row r="1">
          <cell r="D1">
            <v>0</v>
          </cell>
        </row>
      </sheetData>
      <sheetData sheetId="22">
        <row r="1">
          <cell r="A1" t="str">
            <v>End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zoomScale="90" zoomScaleNormal="90" workbookViewId="0">
      <selection activeCell="U20" sqref="U20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15"/>
  <sheetViews>
    <sheetView showGridLines="0" zoomScale="90" zoomScaleNormal="90" workbookViewId="0">
      <selection activeCell="R19" sqref="R19"/>
    </sheetView>
  </sheetViews>
  <sheetFormatPr defaultRowHeight="15"/>
  <cols>
    <col min="1" max="1" width="3.28515625" customWidth="1"/>
    <col min="2" max="2" width="24.7109375" customWidth="1"/>
    <col min="3" max="3" width="11" bestFit="1" customWidth="1"/>
    <col min="4" max="4" width="23.85546875" bestFit="1" customWidth="1"/>
    <col min="5" max="5" width="12.85546875" bestFit="1" customWidth="1"/>
    <col min="6" max="6" width="18.140625" customWidth="1"/>
  </cols>
  <sheetData>
    <row r="2" spans="2:20" ht="19.5" thickBot="1">
      <c r="G2" s="226" t="s">
        <v>260</v>
      </c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</row>
    <row r="3" spans="2:20" ht="141.75" thickBot="1">
      <c r="B3" s="47" t="s">
        <v>235</v>
      </c>
      <c r="C3" s="48" t="s">
        <v>236</v>
      </c>
      <c r="D3" s="48" t="s">
        <v>251</v>
      </c>
      <c r="E3" s="48" t="s">
        <v>252</v>
      </c>
      <c r="F3" s="49" t="s">
        <v>253</v>
      </c>
      <c r="G3" s="71" t="s">
        <v>238</v>
      </c>
      <c r="H3" s="72" t="s">
        <v>237</v>
      </c>
      <c r="I3" s="72" t="s">
        <v>239</v>
      </c>
      <c r="J3" s="72" t="s">
        <v>241</v>
      </c>
      <c r="K3" s="72" t="s">
        <v>242</v>
      </c>
      <c r="L3" s="72" t="s">
        <v>243</v>
      </c>
      <c r="M3" s="72" t="s">
        <v>246</v>
      </c>
      <c r="N3" s="72" t="s">
        <v>247</v>
      </c>
      <c r="O3" s="72" t="s">
        <v>248</v>
      </c>
      <c r="P3" s="72" t="s">
        <v>0</v>
      </c>
      <c r="Q3" s="72" t="s">
        <v>249</v>
      </c>
      <c r="R3" s="73" t="s">
        <v>250</v>
      </c>
      <c r="S3" s="46"/>
      <c r="T3" s="46"/>
    </row>
    <row r="4" spans="2:20">
      <c r="B4" s="50" t="s">
        <v>583</v>
      </c>
      <c r="C4" s="51" t="s">
        <v>240</v>
      </c>
      <c r="D4" s="52" t="s">
        <v>254</v>
      </c>
      <c r="E4" s="52" t="s">
        <v>257</v>
      </c>
      <c r="F4" s="53" t="s">
        <v>258</v>
      </c>
      <c r="G4" s="62"/>
      <c r="H4" s="63"/>
      <c r="I4" s="74"/>
      <c r="J4" s="74"/>
      <c r="K4" s="63"/>
      <c r="L4" s="63"/>
      <c r="M4" s="74"/>
      <c r="N4" s="63"/>
      <c r="O4" s="63"/>
      <c r="P4" s="74"/>
      <c r="Q4" s="74"/>
      <c r="R4" s="64"/>
    </row>
    <row r="5" spans="2:20">
      <c r="B5" s="54" t="s">
        <v>584</v>
      </c>
      <c r="C5" s="55" t="s">
        <v>240</v>
      </c>
      <c r="D5" s="56" t="s">
        <v>255</v>
      </c>
      <c r="E5" s="56" t="s">
        <v>257</v>
      </c>
      <c r="F5" s="57" t="s">
        <v>258</v>
      </c>
      <c r="G5" s="65"/>
      <c r="H5" s="66"/>
      <c r="I5" s="74"/>
      <c r="J5" s="74"/>
      <c r="K5" s="66"/>
      <c r="L5" s="66"/>
      <c r="M5" s="74"/>
      <c r="N5" s="66"/>
      <c r="O5" s="66"/>
      <c r="P5" s="74"/>
      <c r="Q5" s="74"/>
      <c r="R5" s="67"/>
    </row>
    <row r="6" spans="2:20">
      <c r="B6" s="54" t="s">
        <v>585</v>
      </c>
      <c r="C6" s="55" t="s">
        <v>240</v>
      </c>
      <c r="D6" s="56" t="s">
        <v>256</v>
      </c>
      <c r="E6" s="56" t="s">
        <v>254</v>
      </c>
      <c r="F6" s="57" t="s">
        <v>257</v>
      </c>
      <c r="G6" s="74"/>
      <c r="H6" s="74"/>
      <c r="I6" s="66"/>
      <c r="J6" s="74"/>
      <c r="K6" s="66"/>
      <c r="L6" s="66"/>
      <c r="M6" s="74"/>
      <c r="N6" s="66"/>
      <c r="O6" s="66"/>
      <c r="P6" s="74"/>
      <c r="Q6" s="74"/>
      <c r="R6" s="67"/>
    </row>
    <row r="7" spans="2:20">
      <c r="B7" s="54" t="s">
        <v>241</v>
      </c>
      <c r="C7" s="55" t="s">
        <v>244</v>
      </c>
      <c r="D7" s="56" t="s">
        <v>256</v>
      </c>
      <c r="E7" s="56" t="s">
        <v>254</v>
      </c>
      <c r="F7" s="57" t="s">
        <v>257</v>
      </c>
      <c r="G7" s="74"/>
      <c r="H7" s="74"/>
      <c r="I7" s="74"/>
      <c r="J7" s="66"/>
      <c r="K7" s="74"/>
      <c r="L7" s="74"/>
      <c r="M7" s="66"/>
      <c r="N7" s="66"/>
      <c r="O7" s="66"/>
      <c r="P7" s="74"/>
      <c r="Q7" s="74"/>
      <c r="R7" s="67"/>
    </row>
    <row r="8" spans="2:20">
      <c r="B8" s="54" t="s">
        <v>242</v>
      </c>
      <c r="C8" s="55" t="s">
        <v>245</v>
      </c>
      <c r="D8" s="56" t="s">
        <v>254</v>
      </c>
      <c r="E8" s="56" t="s">
        <v>254</v>
      </c>
      <c r="F8" s="57" t="s">
        <v>259</v>
      </c>
      <c r="G8" s="65"/>
      <c r="H8" s="66"/>
      <c r="I8" s="66"/>
      <c r="J8" s="74"/>
      <c r="K8" s="66"/>
      <c r="L8" s="66"/>
      <c r="M8" s="74"/>
      <c r="N8" s="66"/>
      <c r="O8" s="66"/>
      <c r="P8" s="74"/>
      <c r="Q8" s="74"/>
      <c r="R8" s="74"/>
    </row>
    <row r="9" spans="2:20">
      <c r="B9" s="54" t="s">
        <v>243</v>
      </c>
      <c r="C9" s="55" t="s">
        <v>245</v>
      </c>
      <c r="D9" s="56" t="s">
        <v>254</v>
      </c>
      <c r="E9" s="56" t="s">
        <v>254</v>
      </c>
      <c r="F9" s="57" t="s">
        <v>259</v>
      </c>
      <c r="G9" s="65"/>
      <c r="H9" s="66"/>
      <c r="I9" s="66"/>
      <c r="J9" s="74"/>
      <c r="K9" s="66"/>
      <c r="L9" s="66"/>
      <c r="M9" s="74"/>
      <c r="N9" s="66"/>
      <c r="O9" s="66"/>
      <c r="P9" s="74"/>
      <c r="Q9" s="74"/>
      <c r="R9" s="74"/>
    </row>
    <row r="10" spans="2:20">
      <c r="B10" s="54" t="s">
        <v>582</v>
      </c>
      <c r="C10" s="55" t="s">
        <v>65</v>
      </c>
      <c r="D10" s="56" t="s">
        <v>256</v>
      </c>
      <c r="E10" s="56" t="s">
        <v>254</v>
      </c>
      <c r="F10" s="57" t="s">
        <v>257</v>
      </c>
      <c r="G10" s="74"/>
      <c r="H10" s="74"/>
      <c r="I10" s="74"/>
      <c r="J10" s="66"/>
      <c r="K10" s="74"/>
      <c r="L10" s="74"/>
      <c r="M10" s="66"/>
      <c r="N10" s="66"/>
      <c r="O10" s="66"/>
      <c r="P10" s="74"/>
      <c r="Q10" s="74"/>
      <c r="R10" s="67"/>
    </row>
    <row r="11" spans="2:20">
      <c r="B11" s="54" t="s">
        <v>247</v>
      </c>
      <c r="C11" s="55" t="s">
        <v>65</v>
      </c>
      <c r="D11" s="56" t="s">
        <v>256</v>
      </c>
      <c r="E11" s="56" t="s">
        <v>257</v>
      </c>
      <c r="F11" s="57" t="s">
        <v>257</v>
      </c>
      <c r="G11" s="65"/>
      <c r="H11" s="66"/>
      <c r="I11" s="66"/>
      <c r="J11" s="66"/>
      <c r="K11" s="66"/>
      <c r="L11" s="66"/>
      <c r="M11" s="66"/>
      <c r="N11" s="66"/>
      <c r="O11" s="66"/>
      <c r="P11" s="74"/>
      <c r="Q11" s="74"/>
      <c r="R11" s="67"/>
    </row>
    <row r="12" spans="2:20">
      <c r="B12" s="54" t="s">
        <v>586</v>
      </c>
      <c r="C12" s="55" t="s">
        <v>65</v>
      </c>
      <c r="D12" s="56" t="s">
        <v>256</v>
      </c>
      <c r="E12" s="56" t="s">
        <v>257</v>
      </c>
      <c r="F12" s="57" t="s">
        <v>257</v>
      </c>
      <c r="G12" s="65"/>
      <c r="H12" s="66"/>
      <c r="I12" s="66"/>
      <c r="J12" s="66"/>
      <c r="K12" s="66"/>
      <c r="L12" s="66"/>
      <c r="M12" s="66"/>
      <c r="N12" s="66"/>
      <c r="O12" s="66"/>
      <c r="P12" s="74"/>
      <c r="Q12" s="74"/>
      <c r="R12" s="67"/>
    </row>
    <row r="13" spans="2:20">
      <c r="B13" s="54" t="s">
        <v>0</v>
      </c>
      <c r="C13" s="55" t="s">
        <v>65</v>
      </c>
      <c r="D13" s="56" t="s">
        <v>256</v>
      </c>
      <c r="E13" s="56" t="s">
        <v>254</v>
      </c>
      <c r="F13" s="57" t="s">
        <v>257</v>
      </c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</row>
    <row r="14" spans="2:20">
      <c r="B14" s="54" t="s">
        <v>249</v>
      </c>
      <c r="C14" s="55" t="s">
        <v>65</v>
      </c>
      <c r="D14" s="56" t="s">
        <v>256</v>
      </c>
      <c r="E14" s="56" t="s">
        <v>254</v>
      </c>
      <c r="F14" s="57" t="s">
        <v>257</v>
      </c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</row>
    <row r="15" spans="2:20" ht="15.75" thickBot="1">
      <c r="B15" s="58" t="s">
        <v>250</v>
      </c>
      <c r="C15" s="59" t="s">
        <v>65</v>
      </c>
      <c r="D15" s="60" t="s">
        <v>256</v>
      </c>
      <c r="E15" s="60" t="s">
        <v>254</v>
      </c>
      <c r="F15" s="61" t="s">
        <v>257</v>
      </c>
      <c r="G15" s="68"/>
      <c r="H15" s="69"/>
      <c r="I15" s="69"/>
      <c r="J15" s="69"/>
      <c r="K15" s="74"/>
      <c r="L15" s="74"/>
      <c r="M15" s="69"/>
      <c r="N15" s="69"/>
      <c r="O15" s="69"/>
      <c r="P15" s="74"/>
      <c r="Q15" s="74"/>
      <c r="R15" s="70"/>
    </row>
  </sheetData>
  <mergeCells count="1">
    <mergeCell ref="G2:R2"/>
  </mergeCell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57"/>
  <sheetViews>
    <sheetView showGridLines="0" zoomScale="90" zoomScaleNormal="90" workbookViewId="0">
      <selection activeCell="B142" sqref="B142"/>
    </sheetView>
  </sheetViews>
  <sheetFormatPr defaultColWidth="0" defaultRowHeight="15" outlineLevelRow="1"/>
  <cols>
    <col min="1" max="1" width="9.140625" customWidth="1"/>
    <col min="2" max="2" width="14.7109375" customWidth="1"/>
    <col min="3" max="3" width="38.28515625" customWidth="1"/>
    <col min="4" max="5" width="9.140625" customWidth="1"/>
    <col min="6" max="6" width="31" customWidth="1"/>
    <col min="7" max="7" width="16.7109375" customWidth="1"/>
    <col min="8" max="8" width="13.28515625" bestFit="1" customWidth="1"/>
    <col min="9" max="9" width="12.140625" bestFit="1" customWidth="1"/>
    <col min="10" max="13" width="9.140625" customWidth="1"/>
    <col min="14" max="14" width="2.7109375" customWidth="1"/>
    <col min="15" max="15" width="11.7109375" customWidth="1"/>
    <col min="16" max="16" width="2.7109375" customWidth="1"/>
    <col min="17" max="17" width="5.28515625" customWidth="1"/>
    <col min="18" max="18" width="5.85546875" customWidth="1"/>
    <col min="19" max="16384" width="9.140625" hidden="1"/>
  </cols>
  <sheetData>
    <row r="1" spans="1:17">
      <c r="A1" s="1" t="s">
        <v>234</v>
      </c>
      <c r="B1" s="2"/>
      <c r="C1" s="2"/>
      <c r="D1" s="2"/>
      <c r="E1" s="3">
        <v>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4"/>
    </row>
    <row r="3" spans="1:17">
      <c r="A3" s="4"/>
    </row>
    <row r="4" spans="1:17">
      <c r="A4" s="4"/>
    </row>
    <row r="5" spans="1:17">
      <c r="O5" s="5" t="s">
        <v>0</v>
      </c>
    </row>
    <row r="6" spans="1:17" ht="15.75" thickBot="1">
      <c r="O6" s="3">
        <v>0</v>
      </c>
    </row>
    <row r="7" spans="1:17">
      <c r="A7" s="6"/>
      <c r="B7" s="7" t="s">
        <v>1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8"/>
      <c r="O7" s="7"/>
      <c r="P7" s="8"/>
      <c r="Q7" s="7"/>
    </row>
    <row r="8" spans="1:17">
      <c r="A8" s="6"/>
      <c r="N8" s="9"/>
      <c r="P8" s="9"/>
    </row>
    <row r="9" spans="1:17" hidden="1" outlineLevel="1">
      <c r="A9" s="6"/>
      <c r="B9" s="4" t="s">
        <v>2</v>
      </c>
      <c r="F9" s="10" t="s">
        <v>571</v>
      </c>
      <c r="G9" s="11" t="s">
        <v>3</v>
      </c>
      <c r="N9" s="9"/>
      <c r="P9" s="9"/>
    </row>
    <row r="10" spans="1:17" hidden="1" outlineLevel="1">
      <c r="A10" s="6"/>
      <c r="B10" s="4" t="s">
        <v>4</v>
      </c>
      <c r="F10" s="10" t="s">
        <v>570</v>
      </c>
      <c r="G10" s="11" t="s">
        <v>5</v>
      </c>
      <c r="N10" s="9"/>
      <c r="P10" s="9"/>
    </row>
    <row r="11" spans="1:17" hidden="1" outlineLevel="1">
      <c r="A11" s="6"/>
      <c r="B11" s="4" t="s">
        <v>6</v>
      </c>
      <c r="F11" s="10"/>
      <c r="G11" s="11" t="s">
        <v>7</v>
      </c>
      <c r="N11" s="9"/>
      <c r="P11" s="9"/>
    </row>
    <row r="12" spans="1:17" hidden="1" outlineLevel="1">
      <c r="A12" s="6"/>
      <c r="B12" s="4" t="s">
        <v>8</v>
      </c>
      <c r="F12" s="10"/>
      <c r="G12" s="11" t="s">
        <v>9</v>
      </c>
      <c r="N12" s="9"/>
      <c r="P12" s="9"/>
    </row>
    <row r="13" spans="1:17" hidden="1" outlineLevel="1">
      <c r="A13" s="6"/>
      <c r="B13" s="4" t="s">
        <v>10</v>
      </c>
      <c r="F13" s="10"/>
      <c r="N13" s="9"/>
      <c r="P13" s="9"/>
    </row>
    <row r="14" spans="1:17" hidden="1" outlineLevel="1">
      <c r="A14" s="6"/>
      <c r="B14" s="4" t="s">
        <v>11</v>
      </c>
      <c r="F14" s="10"/>
      <c r="N14" s="9"/>
      <c r="P14" s="9"/>
    </row>
    <row r="15" spans="1:17" hidden="1" outlineLevel="1">
      <c r="A15" s="6"/>
      <c r="B15" s="4" t="s">
        <v>12</v>
      </c>
      <c r="F15" s="10"/>
      <c r="N15" s="9"/>
      <c r="P15" s="9"/>
    </row>
    <row r="16" spans="1:17" collapsed="1">
      <c r="A16" s="6"/>
      <c r="B16" s="7" t="s">
        <v>13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12"/>
      <c r="O16" s="7"/>
      <c r="P16" s="12"/>
      <c r="Q16" s="7"/>
    </row>
    <row r="17" spans="1:17">
      <c r="A17" s="6"/>
      <c r="N17" s="9"/>
      <c r="P17" s="9"/>
    </row>
    <row r="18" spans="1:17" hidden="1" outlineLevel="1">
      <c r="A18" s="6"/>
      <c r="B18" s="4" t="s">
        <v>14</v>
      </c>
      <c r="F18" s="10">
        <v>5</v>
      </c>
      <c r="G18" s="11" t="s">
        <v>15</v>
      </c>
      <c r="N18" s="9"/>
      <c r="P18" s="9"/>
    </row>
    <row r="19" spans="1:17" hidden="1" outlineLevel="1">
      <c r="A19" s="6"/>
      <c r="B19" s="4" t="s">
        <v>16</v>
      </c>
      <c r="F19" s="10">
        <v>144</v>
      </c>
      <c r="G19" s="11" t="s">
        <v>17</v>
      </c>
      <c r="N19" s="9"/>
      <c r="P19" s="9"/>
    </row>
    <row r="20" spans="1:17" hidden="1" outlineLevel="1">
      <c r="A20" s="6"/>
      <c r="B20" s="4"/>
      <c r="G20" s="11"/>
      <c r="N20" s="9"/>
      <c r="P20" s="9"/>
    </row>
    <row r="21" spans="1:17" hidden="1" outlineLevel="1">
      <c r="A21" s="6"/>
      <c r="B21" s="4" t="s">
        <v>18</v>
      </c>
      <c r="F21" s="13">
        <v>38718</v>
      </c>
      <c r="G21" s="11" t="s">
        <v>19</v>
      </c>
      <c r="N21" s="9"/>
      <c r="P21" s="9"/>
    </row>
    <row r="22" spans="1:17" hidden="1" outlineLevel="1">
      <c r="A22" s="6"/>
      <c r="B22" s="4" t="s">
        <v>20</v>
      </c>
      <c r="F22" s="14">
        <v>43100</v>
      </c>
      <c r="G22" s="11" t="s">
        <v>21</v>
      </c>
      <c r="N22" s="9"/>
      <c r="P22" s="9"/>
    </row>
    <row r="23" spans="1:17" hidden="1" outlineLevel="1">
      <c r="A23" s="6"/>
      <c r="B23" s="4"/>
      <c r="G23" s="11"/>
      <c r="N23" s="9"/>
      <c r="P23" s="9"/>
    </row>
    <row r="24" spans="1:17" hidden="1" outlineLevel="1">
      <c r="A24" s="6"/>
      <c r="B24" s="4" t="s">
        <v>22</v>
      </c>
      <c r="F24" s="14">
        <v>38443</v>
      </c>
      <c r="G24" s="11" t="s">
        <v>23</v>
      </c>
      <c r="N24" s="9"/>
      <c r="P24" s="9"/>
    </row>
    <row r="25" spans="1:17" hidden="1" outlineLevel="1">
      <c r="A25" s="6"/>
      <c r="B25" s="4" t="s">
        <v>24</v>
      </c>
      <c r="F25" s="14">
        <v>43191</v>
      </c>
      <c r="G25" s="11" t="s">
        <v>25</v>
      </c>
      <c r="N25" s="9"/>
      <c r="P25" s="9"/>
    </row>
    <row r="26" spans="1:17" hidden="1" outlineLevel="1">
      <c r="A26" s="6"/>
      <c r="B26" s="4"/>
      <c r="G26" s="11"/>
      <c r="N26" s="9"/>
      <c r="P26" s="9"/>
    </row>
    <row r="27" spans="1:17" hidden="1" outlineLevel="1">
      <c r="A27" s="6"/>
      <c r="B27" s="4" t="s">
        <v>26</v>
      </c>
      <c r="F27" s="14">
        <v>38565</v>
      </c>
      <c r="G27" s="11" t="s">
        <v>27</v>
      </c>
      <c r="N27" s="9"/>
      <c r="P27" s="9"/>
    </row>
    <row r="28" spans="1:17" hidden="1" outlineLevel="1">
      <c r="A28" s="6"/>
      <c r="N28" s="9"/>
      <c r="P28" s="9"/>
    </row>
    <row r="29" spans="1:17" collapsed="1">
      <c r="A29" s="6"/>
      <c r="B29" s="7" t="s">
        <v>28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12"/>
      <c r="O29" s="7"/>
      <c r="P29" s="12"/>
      <c r="Q29" s="7"/>
    </row>
    <row r="30" spans="1:17">
      <c r="A30" s="6"/>
      <c r="N30" s="9"/>
      <c r="P30" s="9"/>
    </row>
    <row r="31" spans="1:17">
      <c r="A31" s="6"/>
      <c r="B31" t="s">
        <v>28</v>
      </c>
      <c r="C31" t="s">
        <v>29</v>
      </c>
      <c r="F31" t="s">
        <v>30</v>
      </c>
      <c r="G31" t="s">
        <v>31</v>
      </c>
      <c r="H31" t="s">
        <v>32</v>
      </c>
      <c r="N31" s="9"/>
      <c r="P31" s="9"/>
    </row>
    <row r="32" spans="1:17" ht="3" customHeight="1">
      <c r="A32" s="6"/>
      <c r="B32" s="15"/>
      <c r="C32" s="16"/>
      <c r="D32" s="16"/>
      <c r="E32" s="17"/>
      <c r="F32" s="18"/>
      <c r="G32" s="19"/>
      <c r="H32" s="18"/>
      <c r="N32" s="9"/>
      <c r="P32" s="9"/>
    </row>
    <row r="33" spans="1:17">
      <c r="A33" s="6"/>
      <c r="B33" s="20">
        <v>1</v>
      </c>
      <c r="C33" s="21" t="s">
        <v>33</v>
      </c>
      <c r="D33" s="21"/>
      <c r="E33" s="21"/>
      <c r="F33" s="10" t="s">
        <v>34</v>
      </c>
      <c r="G33" s="10" t="s">
        <v>35</v>
      </c>
      <c r="H33" s="22" t="s">
        <v>36</v>
      </c>
      <c r="N33" s="9"/>
      <c r="P33" s="9"/>
    </row>
    <row r="34" spans="1:17">
      <c r="A34" s="6"/>
      <c r="B34" s="20">
        <v>2</v>
      </c>
      <c r="C34" s="21" t="s">
        <v>37</v>
      </c>
      <c r="D34" s="21"/>
      <c r="E34" s="21"/>
      <c r="F34" s="10" t="s">
        <v>38</v>
      </c>
      <c r="G34" s="10" t="s">
        <v>39</v>
      </c>
      <c r="H34" s="22" t="s">
        <v>36</v>
      </c>
      <c r="N34" s="9"/>
      <c r="P34" s="9"/>
    </row>
    <row r="35" spans="1:17">
      <c r="A35" s="6"/>
      <c r="B35" s="20">
        <v>3</v>
      </c>
      <c r="C35" s="21" t="s">
        <v>40</v>
      </c>
      <c r="D35" s="21"/>
      <c r="E35" s="21"/>
      <c r="F35" s="10" t="s">
        <v>41</v>
      </c>
      <c r="G35" s="10" t="s">
        <v>42</v>
      </c>
      <c r="H35" s="22" t="s">
        <v>36</v>
      </c>
      <c r="N35" s="9"/>
      <c r="P35" s="9"/>
    </row>
    <row r="36" spans="1:17">
      <c r="A36" s="6"/>
      <c r="B36" s="20">
        <v>4</v>
      </c>
      <c r="C36" s="21" t="s">
        <v>43</v>
      </c>
      <c r="D36" s="21"/>
      <c r="E36" s="21"/>
      <c r="F36" s="10" t="s">
        <v>44</v>
      </c>
      <c r="G36" s="10" t="s">
        <v>45</v>
      </c>
      <c r="H36" s="22" t="s">
        <v>36</v>
      </c>
      <c r="N36" s="9"/>
      <c r="P36" s="9"/>
    </row>
    <row r="37" spans="1:17">
      <c r="A37" s="6"/>
      <c r="B37" s="20">
        <v>5</v>
      </c>
      <c r="C37" s="21" t="s">
        <v>46</v>
      </c>
      <c r="D37" s="21"/>
      <c r="E37" s="21"/>
      <c r="F37" s="10" t="s">
        <v>47</v>
      </c>
      <c r="G37" s="10" t="s">
        <v>48</v>
      </c>
      <c r="H37" s="22" t="s">
        <v>36</v>
      </c>
      <c r="N37" s="9"/>
      <c r="P37" s="9"/>
    </row>
    <row r="38" spans="1:17">
      <c r="A38" s="6"/>
      <c r="B38" s="20">
        <v>6</v>
      </c>
      <c r="C38" s="21" t="s">
        <v>49</v>
      </c>
      <c r="D38" s="21"/>
      <c r="E38" s="21"/>
      <c r="F38" s="10" t="s">
        <v>50</v>
      </c>
      <c r="G38" s="10" t="s">
        <v>49</v>
      </c>
      <c r="H38" s="22" t="s">
        <v>36</v>
      </c>
      <c r="N38" s="9"/>
      <c r="P38" s="9"/>
    </row>
    <row r="39" spans="1:17" ht="3" customHeight="1">
      <c r="A39" s="6"/>
      <c r="B39" s="15"/>
      <c r="C39" s="16"/>
      <c r="D39" s="16"/>
      <c r="E39" s="17"/>
      <c r="F39" s="23"/>
      <c r="G39" s="19"/>
      <c r="H39" s="19"/>
      <c r="N39" s="9"/>
      <c r="P39" s="9"/>
    </row>
    <row r="40" spans="1:17">
      <c r="A40" s="6"/>
      <c r="B40" s="6">
        <v>6</v>
      </c>
      <c r="C40" s="11" t="s">
        <v>51</v>
      </c>
      <c r="N40" s="9"/>
      <c r="P40" s="9"/>
    </row>
    <row r="41" spans="1:17">
      <c r="A41" s="6"/>
      <c r="B41" s="7" t="s">
        <v>52</v>
      </c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12"/>
      <c r="O41" s="7"/>
      <c r="P41" s="12"/>
      <c r="Q41" s="7"/>
    </row>
    <row r="42" spans="1:17">
      <c r="A42" s="6"/>
      <c r="N42" s="9"/>
      <c r="P42" s="9"/>
    </row>
    <row r="43" spans="1:17" hidden="1" outlineLevel="1">
      <c r="A43" s="6"/>
      <c r="B43" t="s">
        <v>52</v>
      </c>
      <c r="C43" t="s">
        <v>29</v>
      </c>
      <c r="F43" t="s">
        <v>30</v>
      </c>
      <c r="G43" t="s">
        <v>31</v>
      </c>
      <c r="H43" t="s">
        <v>32</v>
      </c>
      <c r="N43" s="9"/>
      <c r="P43" s="9"/>
    </row>
    <row r="44" spans="1:17" ht="3" hidden="1" customHeight="1" outlineLevel="1">
      <c r="A44" s="6"/>
      <c r="B44" s="15"/>
      <c r="C44" s="16"/>
      <c r="D44" s="16"/>
      <c r="E44" s="17"/>
      <c r="F44" s="17"/>
      <c r="G44" s="18"/>
      <c r="H44" s="18"/>
      <c r="N44" s="9"/>
      <c r="P44" s="9"/>
    </row>
    <row r="45" spans="1:17" hidden="1" outlineLevel="1">
      <c r="A45" s="6"/>
      <c r="B45" s="20">
        <v>1</v>
      </c>
      <c r="C45" s="21" t="s">
        <v>53</v>
      </c>
      <c r="D45" s="21"/>
      <c r="E45" s="21"/>
      <c r="F45" s="10" t="s">
        <v>54</v>
      </c>
      <c r="G45" s="10" t="s">
        <v>53</v>
      </c>
      <c r="H45" s="22" t="s">
        <v>36</v>
      </c>
      <c r="N45" s="9"/>
      <c r="P45" s="9"/>
    </row>
    <row r="46" spans="1:17" hidden="1" outlineLevel="1">
      <c r="A46" s="6"/>
      <c r="B46" s="20">
        <v>2</v>
      </c>
      <c r="C46" s="21" t="s">
        <v>55</v>
      </c>
      <c r="D46" s="21"/>
      <c r="E46" s="21"/>
      <c r="F46" s="10" t="s">
        <v>56</v>
      </c>
      <c r="G46" s="10" t="s">
        <v>55</v>
      </c>
      <c r="H46" s="22" t="s">
        <v>36</v>
      </c>
      <c r="N46" s="9"/>
      <c r="P46" s="9"/>
    </row>
    <row r="47" spans="1:17" hidden="1" outlineLevel="1">
      <c r="A47" s="6"/>
      <c r="B47" s="20">
        <v>3</v>
      </c>
      <c r="C47" s="21" t="s">
        <v>57</v>
      </c>
      <c r="D47" s="21"/>
      <c r="E47" s="21"/>
      <c r="F47" s="10" t="s">
        <v>58</v>
      </c>
      <c r="G47" s="10" t="s">
        <v>59</v>
      </c>
      <c r="H47" s="22" t="s">
        <v>36</v>
      </c>
      <c r="N47" s="9"/>
      <c r="P47" s="9"/>
    </row>
    <row r="48" spans="1:17" hidden="1" outlineLevel="1">
      <c r="A48" s="6"/>
      <c r="B48" s="20">
        <v>4</v>
      </c>
      <c r="C48" s="21" t="s">
        <v>60</v>
      </c>
      <c r="D48" s="21"/>
      <c r="E48" s="21"/>
      <c r="F48" s="10" t="s">
        <v>61</v>
      </c>
      <c r="G48" s="10" t="s">
        <v>62</v>
      </c>
      <c r="H48" s="22" t="s">
        <v>36</v>
      </c>
      <c r="N48" s="9"/>
      <c r="P48" s="9"/>
    </row>
    <row r="49" spans="1:17" hidden="1" outlineLevel="1">
      <c r="A49" s="6"/>
      <c r="B49" s="20">
        <v>5</v>
      </c>
      <c r="C49" s="21" t="s">
        <v>63</v>
      </c>
      <c r="D49" s="21"/>
      <c r="E49" s="21"/>
      <c r="F49" s="10" t="s">
        <v>64</v>
      </c>
      <c r="G49" s="10" t="s">
        <v>63</v>
      </c>
      <c r="H49" s="22" t="s">
        <v>36</v>
      </c>
      <c r="N49" s="9"/>
      <c r="P49" s="9"/>
    </row>
    <row r="50" spans="1:17" hidden="1" outlineLevel="1">
      <c r="A50" s="6"/>
      <c r="B50" s="20">
        <v>6</v>
      </c>
      <c r="C50" s="21" t="s">
        <v>65</v>
      </c>
      <c r="D50" s="21"/>
      <c r="E50" s="21"/>
      <c r="F50" s="10" t="s">
        <v>66</v>
      </c>
      <c r="G50" s="10" t="s">
        <v>67</v>
      </c>
      <c r="H50" s="22" t="s">
        <v>36</v>
      </c>
      <c r="N50" s="9"/>
      <c r="P50" s="9"/>
    </row>
    <row r="51" spans="1:17" hidden="1" outlineLevel="1">
      <c r="A51" s="6"/>
      <c r="B51" s="20">
        <v>7</v>
      </c>
      <c r="C51" s="21" t="s">
        <v>68</v>
      </c>
      <c r="D51" s="21"/>
      <c r="E51" s="21"/>
      <c r="F51" s="10" t="s">
        <v>69</v>
      </c>
      <c r="G51" s="10" t="s">
        <v>68</v>
      </c>
      <c r="H51" s="22" t="s">
        <v>36</v>
      </c>
      <c r="N51" s="9"/>
      <c r="P51" s="9"/>
    </row>
    <row r="52" spans="1:17" hidden="1" outlineLevel="1">
      <c r="A52" s="6"/>
      <c r="B52" s="20">
        <v>8</v>
      </c>
      <c r="C52" s="21" t="s">
        <v>70</v>
      </c>
      <c r="D52" s="21"/>
      <c r="E52" s="21"/>
      <c r="F52" s="10" t="s">
        <v>71</v>
      </c>
      <c r="G52" s="10" t="s">
        <v>70</v>
      </c>
      <c r="H52" s="22" t="s">
        <v>36</v>
      </c>
      <c r="N52" s="9"/>
      <c r="P52" s="9"/>
    </row>
    <row r="53" spans="1:17" hidden="1" outlineLevel="1">
      <c r="A53" s="6"/>
      <c r="B53" s="20">
        <v>11</v>
      </c>
      <c r="C53" s="21" t="s">
        <v>72</v>
      </c>
      <c r="D53" s="21"/>
      <c r="E53" s="21"/>
      <c r="F53" s="10" t="s">
        <v>73</v>
      </c>
      <c r="G53" s="10" t="s">
        <v>72</v>
      </c>
      <c r="H53" s="22" t="s">
        <v>36</v>
      </c>
      <c r="N53" s="9"/>
      <c r="P53" s="9"/>
    </row>
    <row r="54" spans="1:17" ht="3" hidden="1" customHeight="1" outlineLevel="1">
      <c r="A54" s="6"/>
      <c r="B54" s="15"/>
      <c r="C54" s="16"/>
      <c r="D54" s="16"/>
      <c r="E54" s="17"/>
      <c r="F54" s="17"/>
      <c r="G54" s="17"/>
      <c r="H54" s="17"/>
      <c r="N54" s="9"/>
      <c r="P54" s="9"/>
    </row>
    <row r="55" spans="1:17" hidden="1" outlineLevel="1">
      <c r="A55" s="6"/>
      <c r="B55" s="6">
        <v>9</v>
      </c>
      <c r="C55" s="24" t="s">
        <v>74</v>
      </c>
      <c r="N55" s="9"/>
      <c r="P55" s="9"/>
    </row>
    <row r="56" spans="1:17" collapsed="1">
      <c r="A56" s="6"/>
      <c r="B56" s="7" t="s">
        <v>75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12"/>
      <c r="O56" s="7"/>
      <c r="P56" s="12"/>
      <c r="Q56" s="7"/>
    </row>
    <row r="57" spans="1:17">
      <c r="A57" s="6"/>
      <c r="N57" s="9"/>
      <c r="P57" s="9"/>
    </row>
    <row r="58" spans="1:17" hidden="1" outlineLevel="1">
      <c r="A58" s="6"/>
      <c r="B58" t="s">
        <v>76</v>
      </c>
      <c r="C58" s="25" t="s">
        <v>29</v>
      </c>
      <c r="D58" s="20"/>
      <c r="E58" s="20"/>
      <c r="F58" s="26" t="s">
        <v>30</v>
      </c>
      <c r="G58" s="26" t="s">
        <v>31</v>
      </c>
      <c r="N58" s="9"/>
      <c r="P58" s="9"/>
    </row>
    <row r="59" spans="1:17" ht="3" hidden="1" customHeight="1" outlineLevel="1">
      <c r="A59" s="6"/>
      <c r="B59" s="15"/>
      <c r="C59" s="16"/>
      <c r="D59" s="16"/>
      <c r="E59" s="17"/>
      <c r="F59" s="17"/>
      <c r="G59" s="27"/>
      <c r="N59" s="9"/>
      <c r="P59" s="9"/>
    </row>
    <row r="60" spans="1:17" hidden="1" outlineLevel="1">
      <c r="A60" s="6"/>
      <c r="B60" s="20">
        <v>1</v>
      </c>
      <c r="C60" s="21" t="s">
        <v>77</v>
      </c>
      <c r="D60" s="21"/>
      <c r="E60" s="21"/>
      <c r="F60" s="10" t="s">
        <v>78</v>
      </c>
      <c r="G60" s="10"/>
      <c r="N60" s="9"/>
      <c r="P60" s="9"/>
    </row>
    <row r="61" spans="1:17" hidden="1" outlineLevel="1">
      <c r="A61" s="6"/>
      <c r="B61" s="20">
        <v>2</v>
      </c>
      <c r="C61" s="21" t="s">
        <v>79</v>
      </c>
      <c r="D61" s="21"/>
      <c r="E61" s="21"/>
      <c r="F61" s="10" t="s">
        <v>80</v>
      </c>
      <c r="G61" s="10"/>
      <c r="N61" s="9"/>
      <c r="P61" s="9"/>
    </row>
    <row r="62" spans="1:17" hidden="1" outlineLevel="1">
      <c r="A62" s="6"/>
      <c r="B62" s="20">
        <v>3</v>
      </c>
      <c r="C62" s="21" t="s">
        <v>81</v>
      </c>
      <c r="D62" s="21"/>
      <c r="E62" s="21"/>
      <c r="F62" s="10" t="s">
        <v>82</v>
      </c>
      <c r="G62" s="10"/>
      <c r="N62" s="9"/>
      <c r="P62" s="9"/>
    </row>
    <row r="63" spans="1:17" hidden="1" outlineLevel="1">
      <c r="A63" s="6"/>
      <c r="B63" s="20">
        <v>4</v>
      </c>
      <c r="C63" s="21" t="s">
        <v>83</v>
      </c>
      <c r="D63" s="21"/>
      <c r="E63" s="21"/>
      <c r="F63" s="10" t="s">
        <v>84</v>
      </c>
      <c r="G63" s="10"/>
      <c r="N63" s="9"/>
      <c r="P63" s="9"/>
    </row>
    <row r="64" spans="1:17" hidden="1" outlineLevel="1">
      <c r="A64" s="6"/>
      <c r="B64" s="20">
        <v>5</v>
      </c>
      <c r="C64" s="21" t="s">
        <v>85</v>
      </c>
      <c r="D64" s="21"/>
      <c r="E64" s="21"/>
      <c r="F64" s="10" t="s">
        <v>86</v>
      </c>
      <c r="G64" s="10"/>
      <c r="N64" s="9"/>
      <c r="P64" s="9"/>
    </row>
    <row r="65" spans="1:17" hidden="1" outlineLevel="1">
      <c r="A65" s="6"/>
      <c r="B65" s="20">
        <v>6</v>
      </c>
      <c r="C65" s="21" t="s">
        <v>87</v>
      </c>
      <c r="D65" s="21"/>
      <c r="E65" s="21"/>
      <c r="F65" s="10" t="s">
        <v>88</v>
      </c>
      <c r="G65" s="10"/>
      <c r="N65" s="9"/>
      <c r="P65" s="9"/>
    </row>
    <row r="66" spans="1:17" hidden="1" outlineLevel="1">
      <c r="A66" s="6"/>
      <c r="B66" s="20">
        <v>7</v>
      </c>
      <c r="C66" s="21" t="s">
        <v>89</v>
      </c>
      <c r="D66" s="21"/>
      <c r="E66" s="21"/>
      <c r="F66" s="10" t="s">
        <v>90</v>
      </c>
      <c r="G66" s="10"/>
      <c r="N66" s="9"/>
      <c r="P66" s="9"/>
    </row>
    <row r="67" spans="1:17" hidden="1" outlineLevel="1">
      <c r="A67" s="6"/>
      <c r="B67" s="20">
        <v>8</v>
      </c>
      <c r="C67" s="21" t="s">
        <v>91</v>
      </c>
      <c r="D67" s="21"/>
      <c r="E67" s="21"/>
      <c r="F67" s="10" t="s">
        <v>80</v>
      </c>
      <c r="G67" s="10"/>
      <c r="N67" s="9"/>
      <c r="P67" s="9"/>
    </row>
    <row r="68" spans="1:17" hidden="1" outlineLevel="1">
      <c r="A68" s="6"/>
      <c r="B68" s="20">
        <v>9</v>
      </c>
      <c r="C68" s="21" t="s">
        <v>92</v>
      </c>
      <c r="D68" s="21"/>
      <c r="E68" s="21"/>
      <c r="F68" s="10" t="s">
        <v>93</v>
      </c>
      <c r="G68" s="10"/>
      <c r="N68" s="9"/>
      <c r="P68" s="9"/>
    </row>
    <row r="69" spans="1:17" hidden="1" outlineLevel="1">
      <c r="A69" s="6"/>
      <c r="B69" s="20">
        <v>12</v>
      </c>
      <c r="C69" s="21"/>
      <c r="D69" s="21"/>
      <c r="E69" s="21"/>
      <c r="F69" s="10"/>
      <c r="G69" s="10"/>
      <c r="N69" s="9"/>
      <c r="P69" s="9"/>
    </row>
    <row r="70" spans="1:17" ht="3" hidden="1" customHeight="1" outlineLevel="1">
      <c r="A70" s="6"/>
      <c r="B70" s="15"/>
      <c r="C70" s="16"/>
      <c r="D70" s="16"/>
      <c r="E70" s="17"/>
      <c r="F70" s="17"/>
      <c r="G70" s="28"/>
      <c r="N70" s="9"/>
      <c r="P70" s="9"/>
    </row>
    <row r="71" spans="1:17" hidden="1" outlineLevel="1">
      <c r="A71" s="6"/>
      <c r="B71" s="29">
        <v>9</v>
      </c>
      <c r="C71" s="24" t="s">
        <v>94</v>
      </c>
      <c r="D71" s="20"/>
      <c r="E71" s="20"/>
      <c r="F71" s="30"/>
      <c r="G71" s="31" t="s">
        <v>95</v>
      </c>
      <c r="N71" s="9"/>
      <c r="P71" s="9"/>
    </row>
    <row r="72" spans="1:17" collapsed="1">
      <c r="A72" s="6"/>
      <c r="B72" s="7" t="s">
        <v>96</v>
      </c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12"/>
      <c r="O72" s="7"/>
      <c r="P72" s="12"/>
      <c r="Q72" s="7"/>
    </row>
    <row r="73" spans="1:17">
      <c r="A73" s="6"/>
      <c r="N73" s="9"/>
      <c r="P73" s="9"/>
    </row>
    <row r="74" spans="1:17" hidden="1" outlineLevel="1">
      <c r="A74" s="6"/>
      <c r="B74" t="s">
        <v>97</v>
      </c>
      <c r="C74" s="25" t="s">
        <v>29</v>
      </c>
      <c r="D74" s="20"/>
      <c r="E74" s="20"/>
      <c r="F74" s="26" t="s">
        <v>30</v>
      </c>
      <c r="G74" s="26" t="s">
        <v>31</v>
      </c>
      <c r="N74" s="9"/>
      <c r="P74" s="9"/>
    </row>
    <row r="75" spans="1:17" ht="3" hidden="1" customHeight="1" outlineLevel="1">
      <c r="A75" s="6"/>
      <c r="B75" s="15"/>
      <c r="C75" s="16"/>
      <c r="D75" s="16"/>
      <c r="E75" s="17"/>
      <c r="F75" s="17"/>
      <c r="G75" s="27"/>
      <c r="H75" s="18"/>
      <c r="N75" s="9"/>
      <c r="P75" s="9"/>
    </row>
    <row r="76" spans="1:17" hidden="1" outlineLevel="1">
      <c r="A76" s="6"/>
      <c r="B76" s="20">
        <v>1</v>
      </c>
      <c r="C76" s="21"/>
      <c r="D76" s="21"/>
      <c r="E76" s="21"/>
      <c r="F76" s="10"/>
      <c r="G76" s="10"/>
      <c r="H76" s="22" t="s">
        <v>36</v>
      </c>
      <c r="N76" s="9"/>
      <c r="P76" s="9"/>
    </row>
    <row r="77" spans="1:17" hidden="1" outlineLevel="1">
      <c r="A77" s="6"/>
      <c r="B77" s="20">
        <v>2</v>
      </c>
      <c r="C77" s="21"/>
      <c r="D77" s="21"/>
      <c r="E77" s="21"/>
      <c r="F77" s="10"/>
      <c r="G77" s="10"/>
      <c r="H77" s="22" t="s">
        <v>36</v>
      </c>
      <c r="N77" s="9"/>
      <c r="P77" s="9"/>
    </row>
    <row r="78" spans="1:17" hidden="1" outlineLevel="1">
      <c r="A78" s="6"/>
      <c r="B78" s="20">
        <v>3</v>
      </c>
      <c r="C78" s="21"/>
      <c r="D78" s="21"/>
      <c r="E78" s="21"/>
      <c r="F78" s="10"/>
      <c r="G78" s="10"/>
      <c r="H78" s="22" t="s">
        <v>36</v>
      </c>
      <c r="N78" s="9"/>
      <c r="P78" s="9"/>
    </row>
    <row r="79" spans="1:17" hidden="1" outlineLevel="1">
      <c r="A79" s="6"/>
      <c r="B79" s="20">
        <v>4</v>
      </c>
      <c r="C79" s="21"/>
      <c r="D79" s="21"/>
      <c r="E79" s="21"/>
      <c r="F79" s="10"/>
      <c r="G79" s="10"/>
      <c r="H79" s="22" t="s">
        <v>36</v>
      </c>
      <c r="N79" s="9"/>
      <c r="P79" s="9"/>
    </row>
    <row r="80" spans="1:17" hidden="1" outlineLevel="1">
      <c r="A80" s="6"/>
      <c r="B80" s="20">
        <v>5</v>
      </c>
      <c r="C80" s="21"/>
      <c r="D80" s="21"/>
      <c r="E80" s="21"/>
      <c r="F80" s="10"/>
      <c r="G80" s="10"/>
      <c r="H80" s="22" t="s">
        <v>36</v>
      </c>
      <c r="N80" s="9"/>
      <c r="P80" s="9"/>
    </row>
    <row r="81" spans="1:17" hidden="1" outlineLevel="1">
      <c r="A81" s="6"/>
      <c r="B81" s="20">
        <v>6</v>
      </c>
      <c r="C81" s="21"/>
      <c r="D81" s="21"/>
      <c r="E81" s="21"/>
      <c r="F81" s="10"/>
      <c r="G81" s="10"/>
      <c r="H81" s="22" t="s">
        <v>36</v>
      </c>
      <c r="N81" s="9"/>
      <c r="P81" s="9"/>
    </row>
    <row r="82" spans="1:17" hidden="1" outlineLevel="1">
      <c r="A82" s="6"/>
      <c r="B82" s="20">
        <v>7</v>
      </c>
      <c r="C82" s="21"/>
      <c r="D82" s="21"/>
      <c r="E82" s="21"/>
      <c r="F82" s="10"/>
      <c r="G82" s="10"/>
      <c r="H82" s="22" t="s">
        <v>36</v>
      </c>
      <c r="N82" s="9"/>
      <c r="P82" s="9"/>
    </row>
    <row r="83" spans="1:17" hidden="1" outlineLevel="1">
      <c r="A83" s="6"/>
      <c r="B83" s="20">
        <v>8</v>
      </c>
      <c r="C83" s="21"/>
      <c r="D83" s="21"/>
      <c r="E83" s="21"/>
      <c r="F83" s="10"/>
      <c r="G83" s="10"/>
      <c r="H83" s="22" t="s">
        <v>36</v>
      </c>
      <c r="N83" s="9"/>
      <c r="P83" s="9"/>
    </row>
    <row r="84" spans="1:17" hidden="1" outlineLevel="1">
      <c r="A84" s="6"/>
      <c r="B84" s="20">
        <v>9</v>
      </c>
      <c r="C84" s="21"/>
      <c r="D84" s="21"/>
      <c r="E84" s="21"/>
      <c r="F84" s="10"/>
      <c r="G84" s="10"/>
      <c r="H84" s="22" t="s">
        <v>36</v>
      </c>
      <c r="N84" s="9"/>
      <c r="P84" s="9"/>
    </row>
    <row r="85" spans="1:17" hidden="1" outlineLevel="1">
      <c r="A85" s="6"/>
      <c r="B85" s="20">
        <v>12</v>
      </c>
      <c r="C85" s="21"/>
      <c r="D85" s="21"/>
      <c r="E85" s="21"/>
      <c r="F85" s="10"/>
      <c r="G85" s="10"/>
      <c r="H85" s="22" t="s">
        <v>36</v>
      </c>
      <c r="N85" s="9"/>
      <c r="P85" s="9"/>
    </row>
    <row r="86" spans="1:17" ht="3" hidden="1" customHeight="1" outlineLevel="1">
      <c r="A86" s="6"/>
      <c r="B86" s="15"/>
      <c r="C86" s="16"/>
      <c r="D86" s="16"/>
      <c r="E86" s="17"/>
      <c r="F86" s="17"/>
      <c r="G86" s="28"/>
      <c r="H86" s="28"/>
      <c r="N86" s="9"/>
      <c r="P86" s="9"/>
    </row>
    <row r="87" spans="1:17" hidden="1" outlineLevel="1">
      <c r="A87" s="6"/>
      <c r="B87" s="29">
        <v>0</v>
      </c>
      <c r="C87" s="32" t="s">
        <v>98</v>
      </c>
      <c r="D87" s="20"/>
      <c r="E87" s="20"/>
      <c r="F87" s="30"/>
      <c r="G87" s="31"/>
      <c r="N87" s="9"/>
      <c r="P87" s="9"/>
    </row>
    <row r="88" spans="1:17" collapsed="1">
      <c r="A88" s="6"/>
      <c r="B88" s="7" t="s">
        <v>99</v>
      </c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12"/>
      <c r="O88" s="7"/>
      <c r="P88" s="12"/>
      <c r="Q88" s="7"/>
    </row>
    <row r="89" spans="1:17">
      <c r="A89" s="6"/>
      <c r="N89" s="9"/>
      <c r="P89" s="9"/>
    </row>
    <row r="90" spans="1:17" hidden="1" outlineLevel="1">
      <c r="A90" s="6"/>
      <c r="B90" s="4" t="s">
        <v>100</v>
      </c>
      <c r="F90" s="33" t="s">
        <v>101</v>
      </c>
      <c r="G90" s="32" t="s">
        <v>102</v>
      </c>
      <c r="N90" s="9"/>
      <c r="P90" s="9"/>
    </row>
    <row r="91" spans="1:17" hidden="1" outlineLevel="1">
      <c r="A91" s="6"/>
      <c r="B91" s="4" t="s">
        <v>103</v>
      </c>
      <c r="F91" s="33" t="s">
        <v>104</v>
      </c>
      <c r="G91" s="32" t="s">
        <v>103</v>
      </c>
      <c r="N91" s="9"/>
      <c r="P91" s="9"/>
    </row>
    <row r="92" spans="1:17" hidden="1" outlineLevel="1">
      <c r="A92" s="6"/>
      <c r="B92" s="4" t="s">
        <v>105</v>
      </c>
      <c r="F92" s="33" t="s">
        <v>106</v>
      </c>
      <c r="G92" s="32" t="s">
        <v>107</v>
      </c>
      <c r="N92" s="9"/>
      <c r="P92" s="9"/>
    </row>
    <row r="93" spans="1:17" hidden="1" outlineLevel="1">
      <c r="A93" s="6"/>
      <c r="B93" s="4" t="s">
        <v>108</v>
      </c>
      <c r="F93" s="33">
        <v>12</v>
      </c>
      <c r="G93" s="11" t="s">
        <v>109</v>
      </c>
      <c r="N93" s="9"/>
      <c r="P93" s="9"/>
    </row>
    <row r="94" spans="1:17" hidden="1" outlineLevel="1">
      <c r="A94" s="6"/>
      <c r="B94" s="4" t="s">
        <v>110</v>
      </c>
      <c r="F94" s="33">
        <v>30</v>
      </c>
      <c r="G94" s="11" t="s">
        <v>111</v>
      </c>
      <c r="N94" s="9"/>
      <c r="P94" s="9"/>
    </row>
    <row r="95" spans="1:17" hidden="1" outlineLevel="1">
      <c r="A95" s="6"/>
      <c r="B95" s="4" t="s">
        <v>567</v>
      </c>
      <c r="F95" s="34">
        <v>1E-3</v>
      </c>
      <c r="G95" s="11" t="s">
        <v>112</v>
      </c>
      <c r="N95" s="9"/>
      <c r="P95" s="9"/>
    </row>
    <row r="96" spans="1:17" hidden="1" outlineLevel="1">
      <c r="A96" s="6"/>
      <c r="B96" s="4" t="s">
        <v>113</v>
      </c>
      <c r="F96" s="34">
        <v>1</v>
      </c>
      <c r="G96" s="11" t="s">
        <v>114</v>
      </c>
      <c r="N96" s="9"/>
      <c r="P96" s="9"/>
    </row>
    <row r="97" spans="1:17" collapsed="1">
      <c r="A97" s="6"/>
      <c r="B97" s="7" t="s">
        <v>115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12"/>
      <c r="O97" s="7"/>
      <c r="P97" s="12"/>
      <c r="Q97" s="7"/>
    </row>
    <row r="98" spans="1:17">
      <c r="A98" s="6"/>
      <c r="N98" s="9"/>
      <c r="P98" s="9"/>
    </row>
    <row r="99" spans="1:17" hidden="1" outlineLevel="1">
      <c r="A99" s="6"/>
      <c r="B99" s="4" t="s">
        <v>116</v>
      </c>
      <c r="C99" s="4" t="s">
        <v>29</v>
      </c>
      <c r="D99" s="4"/>
      <c r="E99" s="4"/>
      <c r="F99" s="4" t="s">
        <v>30</v>
      </c>
      <c r="G99" s="4" t="s">
        <v>31</v>
      </c>
      <c r="N99" s="9"/>
      <c r="P99" s="9"/>
    </row>
    <row r="100" spans="1:17" ht="3" hidden="1" customHeight="1" outlineLevel="1">
      <c r="A100" s="6"/>
      <c r="B100" s="15"/>
      <c r="C100" s="16"/>
      <c r="D100" s="16"/>
      <c r="E100" s="17"/>
      <c r="F100" s="17"/>
      <c r="G100" s="27"/>
      <c r="N100" s="9"/>
      <c r="P100" s="9"/>
    </row>
    <row r="101" spans="1:17" hidden="1" outlineLevel="1">
      <c r="A101" s="6"/>
      <c r="B101" s="20">
        <v>1</v>
      </c>
      <c r="C101" s="21" t="s">
        <v>117</v>
      </c>
      <c r="D101" s="21"/>
      <c r="E101" s="21"/>
      <c r="F101" s="10" t="s">
        <v>117</v>
      </c>
      <c r="G101" s="10"/>
      <c r="N101" s="9"/>
      <c r="P101" s="9"/>
    </row>
    <row r="102" spans="1:17" hidden="1" outlineLevel="1">
      <c r="A102" s="6"/>
      <c r="B102" s="20">
        <v>2</v>
      </c>
      <c r="C102" s="21" t="s">
        <v>118</v>
      </c>
      <c r="D102" s="21"/>
      <c r="E102" s="21"/>
      <c r="F102" s="10" t="s">
        <v>118</v>
      </c>
      <c r="G102" s="10"/>
      <c r="N102" s="9"/>
      <c r="P102" s="9"/>
    </row>
    <row r="103" spans="1:17" hidden="1" outlineLevel="1">
      <c r="A103" s="6"/>
      <c r="B103" s="20">
        <v>3</v>
      </c>
      <c r="C103" s="21"/>
      <c r="D103" s="21"/>
      <c r="E103" s="21"/>
      <c r="F103" s="10"/>
      <c r="G103" s="10"/>
      <c r="N103" s="9"/>
      <c r="P103" s="9"/>
    </row>
    <row r="104" spans="1:17" ht="3" hidden="1" customHeight="1" outlineLevel="1">
      <c r="A104" s="6"/>
      <c r="B104" s="15"/>
      <c r="C104" s="16"/>
      <c r="D104" s="16"/>
      <c r="E104" s="17"/>
      <c r="F104" s="17"/>
      <c r="G104" s="28"/>
      <c r="N104" s="9"/>
      <c r="P104" s="9"/>
    </row>
    <row r="105" spans="1:17" hidden="1" outlineLevel="1">
      <c r="A105" s="6"/>
      <c r="B105" s="29">
        <v>2</v>
      </c>
      <c r="C105" s="32" t="s">
        <v>119</v>
      </c>
      <c r="D105" s="20"/>
      <c r="E105" s="20"/>
      <c r="F105" s="30"/>
      <c r="G105" s="31"/>
      <c r="N105" s="9"/>
      <c r="P105" s="9"/>
    </row>
    <row r="106" spans="1:17" collapsed="1">
      <c r="A106" s="6"/>
      <c r="B106" s="7" t="s">
        <v>120</v>
      </c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12"/>
      <c r="O106" s="7"/>
      <c r="P106" s="12"/>
      <c r="Q106" s="7"/>
    </row>
    <row r="107" spans="1:17">
      <c r="A107" s="6"/>
      <c r="N107" s="9"/>
      <c r="P107" s="9"/>
    </row>
    <row r="108" spans="1:17" hidden="1" outlineLevel="1">
      <c r="A108" s="6"/>
      <c r="B108" t="s">
        <v>121</v>
      </c>
      <c r="C108" s="4" t="s">
        <v>29</v>
      </c>
      <c r="D108" s="4"/>
      <c r="E108" s="4"/>
      <c r="F108" s="4" t="s">
        <v>122</v>
      </c>
      <c r="G108" s="4" t="s">
        <v>123</v>
      </c>
      <c r="H108" s="4" t="s">
        <v>124</v>
      </c>
      <c r="I108" s="4" t="s">
        <v>125</v>
      </c>
      <c r="N108" s="9"/>
      <c r="P108" s="9"/>
    </row>
    <row r="109" spans="1:17" ht="3" hidden="1" customHeight="1" outlineLevel="1">
      <c r="A109" s="6"/>
      <c r="B109" s="15"/>
      <c r="C109" s="16"/>
      <c r="D109" s="16"/>
      <c r="E109" s="17"/>
      <c r="F109" s="17"/>
      <c r="G109" s="27"/>
      <c r="H109" s="27"/>
      <c r="I109" s="27"/>
      <c r="N109" s="9"/>
      <c r="P109" s="9"/>
    </row>
    <row r="110" spans="1:17" hidden="1" outlineLevel="1">
      <c r="A110" s="6"/>
      <c r="B110" s="20">
        <v>1</v>
      </c>
      <c r="C110" s="21" t="s">
        <v>126</v>
      </c>
      <c r="D110" s="21"/>
      <c r="E110" s="21"/>
      <c r="F110" s="35"/>
      <c r="G110" s="35"/>
      <c r="H110" s="35"/>
      <c r="I110" s="36">
        <v>0</v>
      </c>
      <c r="N110" s="9"/>
      <c r="O110" s="3">
        <v>0</v>
      </c>
      <c r="P110" s="9"/>
    </row>
    <row r="111" spans="1:17" hidden="1" outlineLevel="1">
      <c r="A111" s="6"/>
      <c r="B111" s="20">
        <v>2</v>
      </c>
      <c r="C111" s="21" t="s">
        <v>127</v>
      </c>
      <c r="D111" s="21"/>
      <c r="E111" s="21"/>
      <c r="F111" s="35"/>
      <c r="G111" s="35"/>
      <c r="H111" s="35"/>
      <c r="I111" s="36">
        <v>0</v>
      </c>
      <c r="N111" s="9"/>
      <c r="O111" s="3">
        <v>0</v>
      </c>
      <c r="P111" s="9"/>
    </row>
    <row r="112" spans="1:17" hidden="1" outlineLevel="1">
      <c r="A112" s="6"/>
      <c r="B112" s="20">
        <v>3</v>
      </c>
      <c r="C112" s="21" t="s">
        <v>128</v>
      </c>
      <c r="D112" s="21"/>
      <c r="E112" s="21"/>
      <c r="F112" s="35"/>
      <c r="G112" s="35"/>
      <c r="H112" s="35"/>
      <c r="I112" s="36">
        <v>0</v>
      </c>
      <c r="N112" s="9"/>
      <c r="O112" s="3">
        <v>0</v>
      </c>
      <c r="P112" s="9"/>
    </row>
    <row r="113" spans="1:17" hidden="1" outlineLevel="1">
      <c r="A113" s="6"/>
      <c r="B113" s="20">
        <v>4</v>
      </c>
      <c r="C113" s="21" t="s">
        <v>129</v>
      </c>
      <c r="D113" s="21"/>
      <c r="E113" s="21"/>
      <c r="F113" s="35"/>
      <c r="G113" s="35"/>
      <c r="H113" s="35"/>
      <c r="I113" s="36">
        <v>0</v>
      </c>
      <c r="N113" s="9"/>
      <c r="O113" s="3">
        <v>0</v>
      </c>
      <c r="P113" s="9"/>
    </row>
    <row r="114" spans="1:17" hidden="1" outlineLevel="1">
      <c r="A114" s="6"/>
      <c r="B114" s="20">
        <v>5</v>
      </c>
      <c r="C114" s="21" t="s">
        <v>568</v>
      </c>
      <c r="D114" s="21"/>
      <c r="E114" s="21"/>
      <c r="F114" s="35"/>
      <c r="G114" s="35"/>
      <c r="H114" s="35"/>
      <c r="I114" s="36">
        <v>0</v>
      </c>
      <c r="N114" s="9"/>
      <c r="O114" s="3">
        <v>0</v>
      </c>
      <c r="P114" s="9"/>
    </row>
    <row r="115" spans="1:17" hidden="1" outlineLevel="1">
      <c r="A115" s="6"/>
      <c r="B115" s="20">
        <v>6</v>
      </c>
      <c r="C115" s="21" t="s">
        <v>130</v>
      </c>
      <c r="D115" s="21"/>
      <c r="E115" s="21"/>
      <c r="F115" s="35"/>
      <c r="G115" s="35"/>
      <c r="H115" s="35"/>
      <c r="I115" s="36">
        <v>0</v>
      </c>
      <c r="N115" s="9"/>
      <c r="O115" s="3">
        <v>0</v>
      </c>
      <c r="P115" s="9"/>
    </row>
    <row r="116" spans="1:17" hidden="1" outlineLevel="1">
      <c r="A116" s="6"/>
      <c r="B116" s="20">
        <v>7</v>
      </c>
      <c r="C116" s="21" t="s">
        <v>131</v>
      </c>
      <c r="D116" s="21"/>
      <c r="E116" s="21"/>
      <c r="F116" s="35"/>
      <c r="G116" s="35"/>
      <c r="H116" s="35"/>
      <c r="I116" s="36">
        <v>0</v>
      </c>
      <c r="N116" s="9"/>
      <c r="O116" s="3">
        <v>0</v>
      </c>
      <c r="P116" s="9"/>
    </row>
    <row r="117" spans="1:17" hidden="1" outlineLevel="1">
      <c r="A117" s="6"/>
      <c r="B117" s="20">
        <v>8</v>
      </c>
      <c r="C117" s="21" t="s">
        <v>60</v>
      </c>
      <c r="D117" s="21"/>
      <c r="E117" s="21"/>
      <c r="F117" s="35"/>
      <c r="G117" s="35"/>
      <c r="H117" s="35"/>
      <c r="I117" s="36">
        <v>0</v>
      </c>
      <c r="N117" s="9"/>
      <c r="O117" s="3">
        <v>0</v>
      </c>
      <c r="P117" s="9"/>
    </row>
    <row r="118" spans="1:17" hidden="1" outlineLevel="1">
      <c r="A118" s="6"/>
      <c r="B118" s="20">
        <v>9</v>
      </c>
      <c r="C118" s="21" t="s">
        <v>57</v>
      </c>
      <c r="D118" s="21"/>
      <c r="E118" s="21"/>
      <c r="F118" s="35"/>
      <c r="G118" s="35"/>
      <c r="H118" s="35"/>
      <c r="I118" s="36">
        <v>0</v>
      </c>
      <c r="N118" s="9"/>
      <c r="O118" s="3">
        <v>0</v>
      </c>
      <c r="P118" s="9"/>
    </row>
    <row r="119" spans="1:17" hidden="1" outlineLevel="1">
      <c r="A119" s="6"/>
      <c r="B119" s="20">
        <v>12</v>
      </c>
      <c r="C119" s="21"/>
      <c r="D119" s="21"/>
      <c r="E119" s="21"/>
      <c r="F119" s="35"/>
      <c r="G119" s="35"/>
      <c r="H119" s="35"/>
      <c r="I119" s="36">
        <v>0</v>
      </c>
      <c r="N119" s="9"/>
      <c r="O119" s="3">
        <v>0</v>
      </c>
      <c r="P119" s="9"/>
    </row>
    <row r="120" spans="1:17" ht="3" hidden="1" customHeight="1" outlineLevel="1">
      <c r="A120" s="6"/>
      <c r="B120" s="15"/>
      <c r="C120" s="16"/>
      <c r="D120" s="16"/>
      <c r="E120" s="17"/>
      <c r="F120" s="17"/>
      <c r="G120" s="28"/>
      <c r="H120" s="28"/>
      <c r="I120" s="28"/>
      <c r="N120" s="9"/>
      <c r="P120" s="9"/>
    </row>
    <row r="121" spans="1:17" hidden="1" outlineLevel="1">
      <c r="A121" s="6"/>
      <c r="B121" s="37">
        <v>9</v>
      </c>
      <c r="C121" s="24" t="s">
        <v>120</v>
      </c>
      <c r="D121" s="20"/>
      <c r="E121" s="20"/>
      <c r="F121" s="38" t="s">
        <v>132</v>
      </c>
      <c r="G121" s="38" t="s">
        <v>133</v>
      </c>
      <c r="H121" s="38" t="s">
        <v>134</v>
      </c>
      <c r="N121" s="9"/>
      <c r="P121" s="9"/>
    </row>
    <row r="122" spans="1:17" collapsed="1">
      <c r="A122" s="6"/>
      <c r="B122" s="7" t="s">
        <v>135</v>
      </c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12"/>
      <c r="O122" s="7"/>
      <c r="P122" s="12"/>
      <c r="Q122" s="7"/>
    </row>
    <row r="123" spans="1:17">
      <c r="A123" s="6"/>
      <c r="N123" s="9"/>
      <c r="P123" s="9"/>
    </row>
    <row r="124" spans="1:17" hidden="1" outlineLevel="1">
      <c r="A124" s="6"/>
      <c r="B124" t="s">
        <v>136</v>
      </c>
      <c r="C124" s="4" t="s">
        <v>29</v>
      </c>
      <c r="D124" s="4"/>
      <c r="E124" s="4"/>
      <c r="F124" s="4" t="s">
        <v>30</v>
      </c>
      <c r="G124" s="4" t="s">
        <v>31</v>
      </c>
      <c r="H124" s="4" t="s">
        <v>137</v>
      </c>
      <c r="I124" s="4" t="s">
        <v>138</v>
      </c>
      <c r="N124" s="9"/>
      <c r="P124" s="9"/>
    </row>
    <row r="125" spans="1:17" ht="3" hidden="1" customHeight="1" outlineLevel="1">
      <c r="A125" s="6"/>
      <c r="B125" s="39"/>
      <c r="C125" s="39"/>
      <c r="D125" s="39"/>
      <c r="E125" s="39"/>
      <c r="F125" s="40"/>
      <c r="G125" s="39"/>
      <c r="H125" s="39"/>
      <c r="I125" s="41"/>
      <c r="N125" s="9"/>
      <c r="P125" s="9"/>
    </row>
    <row r="126" spans="1:17" hidden="1" outlineLevel="1">
      <c r="A126" s="6"/>
      <c r="B126" s="42">
        <v>1</v>
      </c>
      <c r="C126" s="21" t="s">
        <v>139</v>
      </c>
      <c r="D126" s="21"/>
      <c r="E126" s="21"/>
      <c r="F126" s="10" t="s">
        <v>140</v>
      </c>
      <c r="G126" s="43"/>
      <c r="H126" s="10" t="s">
        <v>141</v>
      </c>
      <c r="I126" s="10">
        <v>0</v>
      </c>
      <c r="N126" s="9"/>
      <c r="P126" s="9"/>
    </row>
    <row r="127" spans="1:17" hidden="1" outlineLevel="1">
      <c r="A127" s="6"/>
      <c r="B127" s="42">
        <v>2</v>
      </c>
      <c r="C127" s="21" t="s">
        <v>142</v>
      </c>
      <c r="D127" s="21"/>
      <c r="E127" s="21"/>
      <c r="F127" s="10" t="s">
        <v>143</v>
      </c>
      <c r="G127" s="43"/>
      <c r="H127" s="10">
        <v>30</v>
      </c>
      <c r="I127" s="10">
        <v>1</v>
      </c>
      <c r="N127" s="9"/>
      <c r="P127" s="9"/>
    </row>
    <row r="128" spans="1:17" hidden="1" outlineLevel="1">
      <c r="A128" s="6"/>
      <c r="B128" s="42">
        <v>3</v>
      </c>
      <c r="C128" s="21" t="s">
        <v>144</v>
      </c>
      <c r="D128" s="21"/>
      <c r="E128" s="21"/>
      <c r="F128" s="10" t="s">
        <v>54</v>
      </c>
      <c r="G128" s="43"/>
      <c r="H128" s="10">
        <v>60</v>
      </c>
      <c r="I128" s="10">
        <v>2</v>
      </c>
      <c r="N128" s="9"/>
      <c r="P128" s="9"/>
    </row>
    <row r="129" spans="1:17" hidden="1" outlineLevel="1">
      <c r="A129" s="6"/>
      <c r="B129" s="42">
        <v>4</v>
      </c>
      <c r="C129" s="21" t="s">
        <v>145</v>
      </c>
      <c r="D129" s="21"/>
      <c r="E129" s="21"/>
      <c r="F129" s="10" t="s">
        <v>146</v>
      </c>
      <c r="G129" s="43"/>
      <c r="H129" s="10">
        <v>90</v>
      </c>
      <c r="I129" s="10">
        <v>3</v>
      </c>
      <c r="N129" s="9"/>
      <c r="P129" s="9"/>
    </row>
    <row r="130" spans="1:17" ht="3" hidden="1" customHeight="1" outlineLevel="1">
      <c r="A130" s="6"/>
      <c r="B130" s="39"/>
      <c r="C130" s="39"/>
      <c r="D130" s="39"/>
      <c r="E130" s="39"/>
      <c r="F130" s="39"/>
      <c r="G130" s="39"/>
      <c r="H130" s="39"/>
      <c r="I130" s="41"/>
      <c r="N130" s="9"/>
      <c r="P130" s="9"/>
    </row>
    <row r="131" spans="1:17" hidden="1" outlineLevel="1">
      <c r="A131" s="6"/>
      <c r="B131" s="37">
        <v>0</v>
      </c>
      <c r="C131" s="32" t="s">
        <v>147</v>
      </c>
      <c r="D131" s="42"/>
      <c r="E131" s="42"/>
      <c r="F131" s="44"/>
      <c r="G131" s="42"/>
      <c r="H131" s="42"/>
      <c r="I131" s="42"/>
      <c r="N131" s="9"/>
      <c r="P131" s="9"/>
    </row>
    <row r="132" spans="1:17" collapsed="1">
      <c r="A132" s="6"/>
      <c r="B132" s="7" t="s">
        <v>148</v>
      </c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12"/>
      <c r="O132" s="7"/>
      <c r="P132" s="12"/>
      <c r="Q132" s="7"/>
    </row>
    <row r="133" spans="1:17">
      <c r="A133" s="6"/>
      <c r="N133" s="9"/>
      <c r="P133" s="9"/>
    </row>
    <row r="134" spans="1:17" hidden="1" outlineLevel="1">
      <c r="A134" s="6"/>
      <c r="B134" t="s">
        <v>149</v>
      </c>
      <c r="C134" s="4" t="s">
        <v>29</v>
      </c>
      <c r="D134" s="4"/>
      <c r="E134" s="4"/>
      <c r="F134" s="4" t="s">
        <v>30</v>
      </c>
      <c r="G134" s="4" t="s">
        <v>31</v>
      </c>
      <c r="H134" s="4" t="s">
        <v>150</v>
      </c>
      <c r="I134" s="4" t="s">
        <v>151</v>
      </c>
      <c r="N134" s="9"/>
      <c r="P134" s="9"/>
    </row>
    <row r="135" spans="1:17" ht="3" hidden="1" customHeight="1" outlineLevel="1">
      <c r="A135" s="6"/>
      <c r="B135" s="39"/>
      <c r="C135" s="39"/>
      <c r="D135" s="39"/>
      <c r="E135" s="39"/>
      <c r="F135" s="40"/>
      <c r="G135" s="39"/>
      <c r="H135" s="39"/>
      <c r="I135" s="41"/>
      <c r="N135" s="9"/>
      <c r="P135" s="9"/>
    </row>
    <row r="136" spans="1:17" hidden="1" outlineLevel="1">
      <c r="A136" s="6"/>
      <c r="B136" s="42">
        <v>1</v>
      </c>
      <c r="C136" s="21" t="s">
        <v>139</v>
      </c>
      <c r="D136" s="21"/>
      <c r="E136" s="21"/>
      <c r="F136" s="10" t="s">
        <v>152</v>
      </c>
      <c r="G136" s="43"/>
      <c r="H136" s="10">
        <v>3</v>
      </c>
      <c r="I136" s="36">
        <v>36</v>
      </c>
      <c r="N136" s="9"/>
      <c r="P136" s="9"/>
    </row>
    <row r="137" spans="1:17" hidden="1" outlineLevel="1">
      <c r="A137" s="6"/>
      <c r="B137" s="42">
        <v>2</v>
      </c>
      <c r="C137" s="21" t="s">
        <v>142</v>
      </c>
      <c r="D137" s="21"/>
      <c r="E137" s="21"/>
      <c r="F137" s="10" t="s">
        <v>153</v>
      </c>
      <c r="G137" s="43"/>
      <c r="H137" s="10">
        <v>5</v>
      </c>
      <c r="I137" s="36">
        <v>60</v>
      </c>
      <c r="N137" s="9"/>
      <c r="P137" s="9"/>
    </row>
    <row r="138" spans="1:17" hidden="1" outlineLevel="1">
      <c r="A138" s="6"/>
      <c r="B138" s="42">
        <v>3</v>
      </c>
      <c r="C138" s="21" t="s">
        <v>144</v>
      </c>
      <c r="D138" s="21"/>
      <c r="E138" s="21"/>
      <c r="F138" s="10" t="s">
        <v>154</v>
      </c>
      <c r="G138" s="43"/>
      <c r="H138" s="10">
        <v>7</v>
      </c>
      <c r="I138" s="36">
        <v>84</v>
      </c>
      <c r="N138" s="9"/>
      <c r="P138" s="9"/>
    </row>
    <row r="139" spans="1:17" hidden="1" outlineLevel="1">
      <c r="A139" s="6"/>
      <c r="B139" s="42">
        <v>4</v>
      </c>
      <c r="C139" s="21" t="s">
        <v>145</v>
      </c>
      <c r="D139" s="21"/>
      <c r="E139" s="21"/>
      <c r="F139" s="10" t="s">
        <v>155</v>
      </c>
      <c r="G139" s="43"/>
      <c r="H139" s="10">
        <v>10</v>
      </c>
      <c r="I139" s="36">
        <v>120</v>
      </c>
      <c r="N139" s="9"/>
      <c r="P139" s="9"/>
    </row>
    <row r="140" spans="1:17" ht="3" hidden="1" customHeight="1" outlineLevel="1">
      <c r="A140" s="6"/>
      <c r="B140" s="39"/>
      <c r="C140" s="39"/>
      <c r="D140" s="39"/>
      <c r="E140" s="39"/>
      <c r="F140" s="39"/>
      <c r="G140" s="39"/>
      <c r="H140" s="39"/>
      <c r="I140" s="41"/>
      <c r="N140" s="9"/>
      <c r="P140" s="9"/>
    </row>
    <row r="141" spans="1:17" hidden="1" outlineLevel="1">
      <c r="A141" s="6"/>
      <c r="F141" s="45" t="s">
        <v>156</v>
      </c>
      <c r="N141" s="9"/>
      <c r="P141" s="9"/>
    </row>
    <row r="142" spans="1:17" collapsed="1">
      <c r="A142" s="6"/>
      <c r="B142" s="7" t="s">
        <v>157</v>
      </c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12"/>
      <c r="O142" s="7"/>
      <c r="P142" s="12"/>
      <c r="Q142" s="7"/>
    </row>
    <row r="143" spans="1:17">
      <c r="A143" s="6"/>
      <c r="N143" s="9"/>
      <c r="P143" s="9"/>
    </row>
    <row r="144" spans="1:17">
      <c r="A144" s="6"/>
      <c r="B144" t="s">
        <v>158</v>
      </c>
      <c r="C144" s="4" t="s">
        <v>29</v>
      </c>
      <c r="D144" s="4"/>
      <c r="E144" s="4"/>
      <c r="F144" s="4" t="s">
        <v>30</v>
      </c>
      <c r="G144" s="4" t="s">
        <v>31</v>
      </c>
      <c r="N144" s="9"/>
      <c r="P144" s="9"/>
    </row>
    <row r="145" spans="1:17" ht="3" customHeight="1">
      <c r="A145" s="6"/>
      <c r="B145" s="39"/>
      <c r="C145" s="39"/>
      <c r="D145" s="39"/>
      <c r="E145" s="39"/>
      <c r="F145" s="40"/>
      <c r="G145" s="39"/>
      <c r="N145" s="9"/>
      <c r="P145" s="9"/>
    </row>
    <row r="146" spans="1:17">
      <c r="A146" s="6"/>
      <c r="B146" s="42">
        <v>1</v>
      </c>
      <c r="C146" s="21" t="s">
        <v>159</v>
      </c>
      <c r="D146" s="21"/>
      <c r="E146" s="21"/>
      <c r="F146" s="10"/>
      <c r="G146" s="43"/>
      <c r="N146" s="9"/>
      <c r="P146" s="9"/>
    </row>
    <row r="147" spans="1:17">
      <c r="A147" s="6"/>
      <c r="B147" s="42">
        <v>2</v>
      </c>
      <c r="C147" s="21" t="s">
        <v>160</v>
      </c>
      <c r="D147" s="21"/>
      <c r="E147" s="21"/>
      <c r="F147" s="10"/>
      <c r="G147" s="43"/>
      <c r="N147" s="9"/>
      <c r="P147" s="9"/>
    </row>
    <row r="148" spans="1:17">
      <c r="A148" s="6"/>
      <c r="B148" s="42">
        <v>3</v>
      </c>
      <c r="C148" s="21" t="s">
        <v>161</v>
      </c>
      <c r="D148" s="21"/>
      <c r="E148" s="21"/>
      <c r="F148" s="10"/>
      <c r="G148" s="43"/>
      <c r="N148" s="9"/>
      <c r="P148" s="9"/>
    </row>
    <row r="149" spans="1:17">
      <c r="A149" s="6"/>
      <c r="B149" s="42">
        <v>4</v>
      </c>
      <c r="C149" s="21" t="s">
        <v>162</v>
      </c>
      <c r="D149" s="21"/>
      <c r="E149" s="21"/>
      <c r="F149" s="10"/>
      <c r="G149" s="43"/>
      <c r="N149" s="9"/>
      <c r="P149" s="9"/>
    </row>
    <row r="150" spans="1:17">
      <c r="A150" s="6"/>
      <c r="B150" s="42">
        <v>5</v>
      </c>
      <c r="C150" s="21" t="s">
        <v>163</v>
      </c>
      <c r="D150" s="21"/>
      <c r="E150" s="21"/>
      <c r="F150" s="10"/>
      <c r="G150" s="43"/>
      <c r="N150" s="9"/>
      <c r="P150" s="9"/>
    </row>
    <row r="151" spans="1:17" ht="3" customHeight="1">
      <c r="A151" s="6"/>
      <c r="B151" s="39"/>
      <c r="C151" s="39"/>
      <c r="D151" s="39"/>
      <c r="E151" s="39"/>
      <c r="F151" s="39"/>
      <c r="G151" s="39"/>
      <c r="N151" s="9"/>
      <c r="P151" s="9"/>
    </row>
    <row r="152" spans="1:17">
      <c r="A152" s="6"/>
      <c r="C152" s="24" t="s">
        <v>157</v>
      </c>
      <c r="N152" s="9"/>
      <c r="P152" s="9"/>
    </row>
    <row r="153" spans="1:17">
      <c r="A153" s="6"/>
      <c r="B153" s="7" t="s">
        <v>165</v>
      </c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12"/>
      <c r="O153" s="7"/>
      <c r="P153" s="12"/>
      <c r="Q153" s="7"/>
    </row>
    <row r="154" spans="1:17">
      <c r="A154" s="6"/>
      <c r="N154" s="9"/>
      <c r="P154" s="9"/>
    </row>
    <row r="155" spans="1:17">
      <c r="A155" s="6"/>
      <c r="B155" t="s">
        <v>166</v>
      </c>
      <c r="C155" s="4" t="s">
        <v>29</v>
      </c>
      <c r="D155" s="4"/>
      <c r="E155" s="4"/>
      <c r="F155" s="4" t="s">
        <v>30</v>
      </c>
      <c r="G155" s="4" t="s">
        <v>31</v>
      </c>
      <c r="N155" s="9"/>
      <c r="P155" s="9"/>
    </row>
    <row r="156" spans="1:17" ht="3" customHeight="1">
      <c r="A156" s="6"/>
      <c r="B156" s="39"/>
      <c r="C156" s="39"/>
      <c r="D156" s="39"/>
      <c r="E156" s="39"/>
      <c r="F156" s="40"/>
      <c r="G156" s="39"/>
      <c r="N156" s="9"/>
      <c r="P156" s="9"/>
    </row>
    <row r="157" spans="1:17">
      <c r="A157" s="6"/>
      <c r="B157" s="42">
        <v>1</v>
      </c>
      <c r="C157" s="21" t="s">
        <v>167</v>
      </c>
      <c r="D157" s="21"/>
      <c r="E157" s="21"/>
      <c r="F157" s="10"/>
      <c r="G157" s="43"/>
      <c r="N157" s="9"/>
      <c r="P157" s="9"/>
    </row>
    <row r="158" spans="1:17">
      <c r="A158" s="6"/>
      <c r="B158" s="42">
        <v>2</v>
      </c>
      <c r="C158" s="21" t="s">
        <v>168</v>
      </c>
      <c r="D158" s="21"/>
      <c r="E158" s="21"/>
      <c r="F158" s="10"/>
      <c r="G158" s="43"/>
      <c r="N158" s="9"/>
      <c r="P158" s="9"/>
    </row>
    <row r="159" spans="1:17">
      <c r="A159" s="6"/>
      <c r="B159" s="42">
        <v>3</v>
      </c>
      <c r="C159" s="21" t="s">
        <v>169</v>
      </c>
      <c r="D159" s="21"/>
      <c r="E159" s="21"/>
      <c r="F159" s="10"/>
      <c r="G159" s="43"/>
      <c r="N159" s="9"/>
      <c r="P159" s="9"/>
    </row>
    <row r="160" spans="1:17">
      <c r="A160" s="6"/>
      <c r="B160" s="42">
        <v>4</v>
      </c>
      <c r="C160" s="21" t="s">
        <v>170</v>
      </c>
      <c r="D160" s="21"/>
      <c r="E160" s="21"/>
      <c r="F160" s="10"/>
      <c r="G160" s="43"/>
      <c r="N160" s="9"/>
      <c r="P160" s="9"/>
    </row>
    <row r="161" spans="1:17">
      <c r="A161" s="6"/>
      <c r="B161" s="42">
        <v>5</v>
      </c>
      <c r="C161" s="21" t="s">
        <v>171</v>
      </c>
      <c r="D161" s="21"/>
      <c r="E161" s="21"/>
      <c r="F161" s="10"/>
      <c r="G161" s="43"/>
      <c r="N161" s="9"/>
      <c r="P161" s="9"/>
    </row>
    <row r="162" spans="1:17">
      <c r="A162" s="6"/>
      <c r="B162" s="42">
        <v>6</v>
      </c>
      <c r="C162" s="21" t="s">
        <v>172</v>
      </c>
      <c r="D162" s="21"/>
      <c r="E162" s="21"/>
      <c r="F162" s="10"/>
      <c r="G162" s="43"/>
      <c r="N162" s="9"/>
      <c r="P162" s="9"/>
    </row>
    <row r="163" spans="1:17">
      <c r="A163" s="6"/>
      <c r="B163" s="42">
        <v>7</v>
      </c>
      <c r="C163" s="21" t="s">
        <v>173</v>
      </c>
      <c r="D163" s="21"/>
      <c r="E163" s="21"/>
      <c r="F163" s="10"/>
      <c r="G163" s="43"/>
      <c r="N163" s="9"/>
      <c r="P163" s="9"/>
    </row>
    <row r="164" spans="1:17">
      <c r="A164" s="6"/>
      <c r="B164" s="42">
        <v>8</v>
      </c>
      <c r="C164" s="21" t="s">
        <v>174</v>
      </c>
      <c r="D164" s="21"/>
      <c r="E164" s="21"/>
      <c r="F164" s="10"/>
      <c r="G164" s="43"/>
      <c r="N164" s="9"/>
      <c r="P164" s="9"/>
    </row>
    <row r="165" spans="1:17">
      <c r="A165" s="6"/>
      <c r="B165" s="42">
        <v>9</v>
      </c>
      <c r="C165" s="21" t="s">
        <v>68</v>
      </c>
      <c r="D165" s="21"/>
      <c r="E165" s="21"/>
      <c r="F165" s="10"/>
      <c r="G165" s="43"/>
      <c r="N165" s="9"/>
      <c r="P165" s="9"/>
    </row>
    <row r="166" spans="1:17" ht="3" customHeight="1">
      <c r="A166" s="6"/>
      <c r="B166" s="39"/>
      <c r="C166" s="39"/>
      <c r="D166" s="39"/>
      <c r="E166" s="39"/>
      <c r="F166" s="39"/>
      <c r="G166" s="39"/>
      <c r="N166" s="9"/>
      <c r="P166" s="9"/>
    </row>
    <row r="167" spans="1:17">
      <c r="A167" s="6"/>
      <c r="C167" s="24" t="s">
        <v>175</v>
      </c>
      <c r="N167" s="9"/>
      <c r="P167" s="9"/>
    </row>
    <row r="168" spans="1:17">
      <c r="A168" s="6"/>
      <c r="B168" s="7" t="s">
        <v>176</v>
      </c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12"/>
      <c r="O168" s="7"/>
      <c r="P168" s="12"/>
      <c r="Q168" s="7"/>
    </row>
    <row r="169" spans="1:17">
      <c r="A169" s="6"/>
      <c r="N169" s="9"/>
      <c r="P169" s="9"/>
    </row>
    <row r="170" spans="1:17">
      <c r="A170" s="6"/>
      <c r="B170" t="s">
        <v>176</v>
      </c>
      <c r="C170" s="4" t="s">
        <v>29</v>
      </c>
      <c r="D170" s="4"/>
      <c r="E170" s="4"/>
      <c r="F170" s="4" t="s">
        <v>30</v>
      </c>
      <c r="G170" s="4" t="s">
        <v>31</v>
      </c>
      <c r="N170" s="9"/>
      <c r="P170" s="9"/>
    </row>
    <row r="171" spans="1:17" ht="3" customHeight="1">
      <c r="A171" s="6"/>
      <c r="B171" s="39"/>
      <c r="C171" s="39"/>
      <c r="D171" s="39"/>
      <c r="E171" s="39"/>
      <c r="F171" s="40"/>
      <c r="G171" s="39"/>
      <c r="N171" s="9"/>
      <c r="P171" s="9"/>
    </row>
    <row r="172" spans="1:17">
      <c r="A172" s="6"/>
      <c r="B172" s="42">
        <v>1</v>
      </c>
      <c r="C172" s="21" t="s">
        <v>126</v>
      </c>
      <c r="D172" s="21"/>
      <c r="E172" s="21"/>
      <c r="F172" s="10"/>
      <c r="G172" s="43"/>
      <c r="N172" s="9"/>
      <c r="P172" s="9"/>
    </row>
    <row r="173" spans="1:17">
      <c r="A173" s="6"/>
      <c r="B173" s="42">
        <v>2</v>
      </c>
      <c r="C173" s="21" t="s">
        <v>177</v>
      </c>
      <c r="D173" s="21"/>
      <c r="E173" s="21"/>
      <c r="F173" s="10"/>
      <c r="G173" s="43"/>
      <c r="N173" s="9"/>
      <c r="P173" s="9"/>
    </row>
    <row r="174" spans="1:17">
      <c r="A174" s="6"/>
      <c r="B174" s="42">
        <v>3</v>
      </c>
      <c r="C174" s="21" t="s">
        <v>178</v>
      </c>
      <c r="D174" s="21"/>
      <c r="E174" s="21"/>
      <c r="F174" s="10"/>
      <c r="G174" s="43"/>
      <c r="N174" s="9"/>
      <c r="P174" s="9"/>
    </row>
    <row r="175" spans="1:17">
      <c r="A175" s="6"/>
      <c r="B175" s="42">
        <v>4</v>
      </c>
      <c r="C175" s="21" t="s">
        <v>179</v>
      </c>
      <c r="D175" s="21"/>
      <c r="E175" s="21"/>
      <c r="F175" s="10"/>
      <c r="G175" s="43"/>
      <c r="N175" s="9"/>
      <c r="P175" s="9"/>
    </row>
    <row r="176" spans="1:17">
      <c r="A176" s="6"/>
      <c r="B176" s="42">
        <v>5</v>
      </c>
      <c r="C176" s="21" t="s">
        <v>180</v>
      </c>
      <c r="D176" s="21"/>
      <c r="E176" s="21"/>
      <c r="F176" s="10"/>
      <c r="G176" s="43"/>
      <c r="N176" s="9"/>
      <c r="P176" s="9"/>
    </row>
    <row r="177" spans="1:16">
      <c r="A177" s="6"/>
      <c r="B177" s="42">
        <v>6</v>
      </c>
      <c r="C177" s="21" t="s">
        <v>181</v>
      </c>
      <c r="D177" s="21"/>
      <c r="E177" s="21"/>
      <c r="F177" s="10"/>
      <c r="G177" s="43"/>
      <c r="N177" s="9"/>
      <c r="P177" s="9"/>
    </row>
    <row r="178" spans="1:16">
      <c r="A178" s="6"/>
      <c r="B178" s="42">
        <v>7</v>
      </c>
      <c r="C178" s="21" t="s">
        <v>182</v>
      </c>
      <c r="D178" s="21"/>
      <c r="E178" s="21"/>
      <c r="F178" s="10"/>
      <c r="G178" s="43"/>
      <c r="N178" s="9"/>
      <c r="P178" s="9"/>
    </row>
    <row r="179" spans="1:16">
      <c r="A179" s="6"/>
      <c r="B179" s="42">
        <v>8</v>
      </c>
      <c r="C179" s="21" t="s">
        <v>183</v>
      </c>
      <c r="D179" s="21"/>
      <c r="E179" s="21"/>
      <c r="F179" s="10"/>
      <c r="G179" s="43"/>
      <c r="N179" s="9"/>
      <c r="P179" s="9"/>
    </row>
    <row r="180" spans="1:16">
      <c r="A180" s="6"/>
      <c r="B180" s="42">
        <v>9</v>
      </c>
      <c r="C180" s="21" t="s">
        <v>184</v>
      </c>
      <c r="D180" s="21"/>
      <c r="E180" s="21"/>
      <c r="F180" s="10"/>
      <c r="G180" s="43"/>
      <c r="N180" s="9"/>
      <c r="P180" s="9"/>
    </row>
    <row r="181" spans="1:16">
      <c r="A181" s="6"/>
      <c r="B181" s="42">
        <v>10</v>
      </c>
      <c r="C181" s="21" t="s">
        <v>185</v>
      </c>
      <c r="D181" s="21"/>
      <c r="E181" s="21"/>
      <c r="F181" s="10"/>
      <c r="G181" s="43"/>
      <c r="N181" s="9"/>
      <c r="P181" s="9"/>
    </row>
    <row r="182" spans="1:16">
      <c r="A182" s="6"/>
      <c r="B182" s="42">
        <v>11</v>
      </c>
      <c r="C182" s="21" t="s">
        <v>186</v>
      </c>
      <c r="D182" s="21"/>
      <c r="E182" s="21"/>
      <c r="F182" s="10"/>
      <c r="G182" s="43"/>
      <c r="N182" s="9"/>
      <c r="P182" s="9"/>
    </row>
    <row r="183" spans="1:16">
      <c r="A183" s="6"/>
      <c r="B183" s="42">
        <v>12</v>
      </c>
      <c r="C183" s="21" t="s">
        <v>187</v>
      </c>
      <c r="D183" s="21"/>
      <c r="E183" s="21"/>
      <c r="F183" s="10"/>
      <c r="G183" s="43"/>
      <c r="N183" s="9"/>
      <c r="P183" s="9"/>
    </row>
    <row r="184" spans="1:16">
      <c r="A184" s="6"/>
      <c r="B184" s="42">
        <v>13</v>
      </c>
      <c r="C184" s="21" t="s">
        <v>188</v>
      </c>
      <c r="D184" s="21"/>
      <c r="E184" s="21"/>
      <c r="F184" s="10"/>
      <c r="G184" s="43"/>
      <c r="N184" s="9"/>
      <c r="P184" s="9"/>
    </row>
    <row r="185" spans="1:16">
      <c r="A185" s="6"/>
      <c r="B185" s="42">
        <v>14</v>
      </c>
      <c r="C185" s="21" t="s">
        <v>189</v>
      </c>
      <c r="D185" s="21"/>
      <c r="E185" s="21"/>
      <c r="F185" s="10"/>
      <c r="G185" s="43"/>
      <c r="N185" s="9"/>
      <c r="P185" s="9"/>
    </row>
    <row r="186" spans="1:16">
      <c r="A186" s="6"/>
      <c r="B186" s="42">
        <v>15</v>
      </c>
      <c r="C186" s="21" t="s">
        <v>190</v>
      </c>
      <c r="D186" s="21"/>
      <c r="E186" s="21"/>
      <c r="F186" s="10"/>
      <c r="G186" s="43"/>
      <c r="N186" s="9"/>
      <c r="P186" s="9"/>
    </row>
    <row r="187" spans="1:16">
      <c r="A187" s="6"/>
      <c r="B187" s="42">
        <v>16</v>
      </c>
      <c r="C187" s="21" t="s">
        <v>191</v>
      </c>
      <c r="D187" s="21"/>
      <c r="E187" s="21"/>
      <c r="F187" s="10"/>
      <c r="G187" s="43"/>
      <c r="N187" s="9"/>
      <c r="P187" s="9"/>
    </row>
    <row r="188" spans="1:16">
      <c r="A188" s="6"/>
      <c r="B188" s="42">
        <v>17</v>
      </c>
      <c r="C188" s="21" t="s">
        <v>192</v>
      </c>
      <c r="D188" s="21"/>
      <c r="E188" s="21"/>
      <c r="F188" s="10"/>
      <c r="G188" s="43"/>
      <c r="N188" s="9"/>
      <c r="P188" s="9"/>
    </row>
    <row r="189" spans="1:16">
      <c r="A189" s="6"/>
      <c r="B189" s="42">
        <v>18</v>
      </c>
      <c r="C189" s="21" t="s">
        <v>193</v>
      </c>
      <c r="D189" s="21"/>
      <c r="E189" s="21"/>
      <c r="F189" s="10"/>
      <c r="G189" s="43"/>
      <c r="N189" s="9"/>
      <c r="P189" s="9"/>
    </row>
    <row r="190" spans="1:16">
      <c r="A190" s="6"/>
      <c r="B190" s="42">
        <v>19</v>
      </c>
      <c r="C190" s="21" t="s">
        <v>194</v>
      </c>
      <c r="D190" s="21"/>
      <c r="E190" s="21"/>
      <c r="F190" s="10"/>
      <c r="G190" s="43"/>
      <c r="N190" s="9"/>
      <c r="P190" s="9"/>
    </row>
    <row r="191" spans="1:16">
      <c r="A191" s="6"/>
      <c r="B191" s="42">
        <v>20</v>
      </c>
      <c r="C191" s="21" t="s">
        <v>195</v>
      </c>
      <c r="D191" s="21"/>
      <c r="E191" s="21"/>
      <c r="F191" s="10"/>
      <c r="G191" s="43"/>
      <c r="N191" s="9"/>
      <c r="P191" s="9"/>
    </row>
    <row r="192" spans="1:16">
      <c r="A192" s="6"/>
      <c r="B192" s="42">
        <v>21</v>
      </c>
      <c r="C192" s="21" t="s">
        <v>196</v>
      </c>
      <c r="D192" s="21"/>
      <c r="E192" s="21"/>
      <c r="F192" s="10"/>
      <c r="G192" s="43"/>
      <c r="N192" s="9"/>
      <c r="P192" s="9"/>
    </row>
    <row r="193" spans="1:16">
      <c r="A193" s="6"/>
      <c r="B193" s="42">
        <v>22</v>
      </c>
      <c r="C193" s="21" t="s">
        <v>197</v>
      </c>
      <c r="D193" s="21"/>
      <c r="E193" s="21"/>
      <c r="F193" s="10"/>
      <c r="G193" s="43"/>
      <c r="N193" s="9"/>
      <c r="P193" s="9"/>
    </row>
    <row r="194" spans="1:16">
      <c r="A194" s="6"/>
      <c r="B194" s="42">
        <v>23</v>
      </c>
      <c r="C194" s="21" t="s">
        <v>198</v>
      </c>
      <c r="D194" s="21"/>
      <c r="E194" s="21"/>
      <c r="F194" s="10"/>
      <c r="G194" s="43"/>
      <c r="N194" s="9"/>
      <c r="P194" s="9"/>
    </row>
    <row r="195" spans="1:16">
      <c r="A195" s="6"/>
      <c r="B195" s="42">
        <v>24</v>
      </c>
      <c r="C195" s="21" t="s">
        <v>199</v>
      </c>
      <c r="D195" s="21"/>
      <c r="E195" s="21"/>
      <c r="F195" s="10"/>
      <c r="G195" s="43"/>
      <c r="N195" s="9"/>
      <c r="P195" s="9"/>
    </row>
    <row r="196" spans="1:16">
      <c r="A196" s="6"/>
      <c r="B196" s="42">
        <v>25</v>
      </c>
      <c r="C196" s="21" t="s">
        <v>200</v>
      </c>
      <c r="D196" s="21"/>
      <c r="E196" s="21"/>
      <c r="F196" s="10"/>
      <c r="G196" s="43"/>
      <c r="N196" s="9"/>
      <c r="P196" s="9"/>
    </row>
    <row r="197" spans="1:16">
      <c r="A197" s="6"/>
      <c r="B197" s="42">
        <v>26</v>
      </c>
      <c r="C197" s="21" t="s">
        <v>201</v>
      </c>
      <c r="D197" s="21"/>
      <c r="E197" s="21"/>
      <c r="F197" s="10"/>
      <c r="G197" s="43"/>
      <c r="N197" s="9"/>
      <c r="P197" s="9"/>
    </row>
    <row r="198" spans="1:16">
      <c r="A198" s="6"/>
      <c r="B198" s="42">
        <v>27</v>
      </c>
      <c r="C198" s="21" t="s">
        <v>202</v>
      </c>
      <c r="D198" s="21"/>
      <c r="E198" s="21"/>
      <c r="F198" s="10"/>
      <c r="G198" s="43"/>
      <c r="N198" s="9"/>
      <c r="P198" s="9"/>
    </row>
    <row r="199" spans="1:16">
      <c r="A199" s="6"/>
      <c r="B199" s="42">
        <v>28</v>
      </c>
      <c r="C199" s="21" t="s">
        <v>203</v>
      </c>
      <c r="D199" s="21"/>
      <c r="E199" s="21"/>
      <c r="F199" s="10"/>
      <c r="G199" s="43"/>
      <c r="N199" s="9"/>
      <c r="P199" s="9"/>
    </row>
    <row r="200" spans="1:16">
      <c r="A200" s="6"/>
      <c r="B200" s="42">
        <v>29</v>
      </c>
      <c r="C200" s="21" t="s">
        <v>204</v>
      </c>
      <c r="D200" s="21"/>
      <c r="E200" s="21"/>
      <c r="F200" s="10"/>
      <c r="G200" s="43"/>
      <c r="N200" s="9"/>
      <c r="P200" s="9"/>
    </row>
    <row r="201" spans="1:16">
      <c r="A201" s="6"/>
      <c r="B201" s="42">
        <v>30</v>
      </c>
      <c r="C201" s="21" t="s">
        <v>205</v>
      </c>
      <c r="D201" s="21"/>
      <c r="E201" s="21"/>
      <c r="F201" s="10"/>
      <c r="G201" s="43"/>
      <c r="N201" s="9"/>
      <c r="P201" s="9"/>
    </row>
    <row r="202" spans="1:16">
      <c r="A202" s="6"/>
      <c r="B202" s="42">
        <v>31</v>
      </c>
      <c r="C202" s="21" t="s">
        <v>206</v>
      </c>
      <c r="D202" s="21"/>
      <c r="E202" s="21"/>
      <c r="F202" s="10"/>
      <c r="G202" s="43"/>
      <c r="N202" s="9"/>
      <c r="P202" s="9"/>
    </row>
    <row r="203" spans="1:16">
      <c r="A203" s="6"/>
      <c r="B203" s="42">
        <v>32</v>
      </c>
      <c r="C203" s="21" t="s">
        <v>207</v>
      </c>
      <c r="D203" s="21"/>
      <c r="E203" s="21"/>
      <c r="F203" s="10"/>
      <c r="G203" s="43"/>
      <c r="N203" s="9"/>
      <c r="P203" s="9"/>
    </row>
    <row r="204" spans="1:16">
      <c r="A204" s="6"/>
      <c r="B204" s="42">
        <v>33</v>
      </c>
      <c r="C204" s="21" t="s">
        <v>208</v>
      </c>
      <c r="D204" s="21"/>
      <c r="E204" s="21"/>
      <c r="F204" s="10"/>
      <c r="G204" s="43"/>
      <c r="N204" s="9"/>
      <c r="P204" s="9"/>
    </row>
    <row r="205" spans="1:16">
      <c r="A205" s="6"/>
      <c r="B205" s="42">
        <v>34</v>
      </c>
      <c r="C205" s="21" t="s">
        <v>569</v>
      </c>
      <c r="D205" s="21"/>
      <c r="E205" s="21"/>
      <c r="F205" s="10"/>
      <c r="G205" s="43"/>
      <c r="N205" s="9"/>
      <c r="P205" s="9"/>
    </row>
    <row r="206" spans="1:16">
      <c r="A206" s="6"/>
      <c r="B206" s="42">
        <v>35</v>
      </c>
      <c r="C206" s="21" t="s">
        <v>210</v>
      </c>
      <c r="D206" s="21"/>
      <c r="E206" s="21"/>
      <c r="F206" s="10"/>
      <c r="G206" s="43"/>
      <c r="N206" s="9"/>
      <c r="P206" s="9"/>
    </row>
    <row r="207" spans="1:16">
      <c r="A207" s="6"/>
      <c r="B207" s="42">
        <v>36</v>
      </c>
      <c r="C207" s="21" t="s">
        <v>211</v>
      </c>
      <c r="D207" s="21"/>
      <c r="E207" s="21"/>
      <c r="F207" s="10"/>
      <c r="G207" s="43"/>
      <c r="N207" s="9"/>
      <c r="P207" s="9"/>
    </row>
    <row r="208" spans="1:16">
      <c r="A208" s="6"/>
      <c r="B208" s="42">
        <v>37</v>
      </c>
      <c r="C208" s="21" t="s">
        <v>212</v>
      </c>
      <c r="D208" s="21"/>
      <c r="E208" s="21"/>
      <c r="F208" s="10"/>
      <c r="G208" s="43"/>
      <c r="N208" s="9"/>
      <c r="P208" s="9"/>
    </row>
    <row r="209" spans="1:16">
      <c r="A209" s="6"/>
      <c r="B209" s="42">
        <v>38</v>
      </c>
      <c r="C209" s="21" t="s">
        <v>213</v>
      </c>
      <c r="D209" s="21"/>
      <c r="E209" s="21"/>
      <c r="F209" s="10"/>
      <c r="G209" s="43"/>
      <c r="N209" s="9"/>
      <c r="P209" s="9"/>
    </row>
    <row r="210" spans="1:16">
      <c r="A210" s="6"/>
      <c r="B210" s="42">
        <v>39</v>
      </c>
      <c r="C210" s="21" t="s">
        <v>214</v>
      </c>
      <c r="D210" s="21"/>
      <c r="E210" s="21"/>
      <c r="F210" s="10"/>
      <c r="G210" s="43"/>
      <c r="N210" s="9"/>
      <c r="P210" s="9"/>
    </row>
    <row r="211" spans="1:16">
      <c r="A211" s="6"/>
      <c r="B211" s="42">
        <v>40</v>
      </c>
      <c r="C211" s="21" t="s">
        <v>215</v>
      </c>
      <c r="D211" s="21"/>
      <c r="E211" s="21"/>
      <c r="F211" s="10"/>
      <c r="G211" s="43"/>
      <c r="N211" s="9"/>
      <c r="P211" s="9"/>
    </row>
    <row r="212" spans="1:16">
      <c r="A212" s="6"/>
      <c r="B212" s="42">
        <v>41</v>
      </c>
      <c r="C212" s="21" t="s">
        <v>216</v>
      </c>
      <c r="D212" s="21"/>
      <c r="E212" s="21"/>
      <c r="F212" s="10"/>
      <c r="G212" s="43"/>
      <c r="N212" s="9"/>
      <c r="P212" s="9"/>
    </row>
    <row r="213" spans="1:16">
      <c r="A213" s="6"/>
      <c r="B213" s="42">
        <v>42</v>
      </c>
      <c r="C213" s="21" t="s">
        <v>217</v>
      </c>
      <c r="D213" s="21"/>
      <c r="E213" s="21"/>
      <c r="F213" s="10"/>
      <c r="G213" s="43"/>
      <c r="N213" s="9"/>
      <c r="P213" s="9"/>
    </row>
    <row r="214" spans="1:16">
      <c r="A214" s="6"/>
      <c r="B214" s="42">
        <v>43</v>
      </c>
      <c r="C214" s="21" t="s">
        <v>218</v>
      </c>
      <c r="D214" s="21"/>
      <c r="E214" s="21"/>
      <c r="F214" s="10"/>
      <c r="G214" s="43"/>
      <c r="N214" s="9"/>
      <c r="P214" s="9"/>
    </row>
    <row r="215" spans="1:16">
      <c r="A215" s="6"/>
      <c r="B215" s="42">
        <v>44</v>
      </c>
      <c r="C215" s="21" t="s">
        <v>219</v>
      </c>
      <c r="D215" s="21"/>
      <c r="E215" s="21"/>
      <c r="F215" s="10"/>
      <c r="G215" s="43"/>
      <c r="N215" s="9"/>
      <c r="P215" s="9"/>
    </row>
    <row r="216" spans="1:16">
      <c r="A216" s="6"/>
      <c r="B216" s="42">
        <v>45</v>
      </c>
      <c r="C216" s="21" t="s">
        <v>220</v>
      </c>
      <c r="D216" s="21"/>
      <c r="E216" s="21"/>
      <c r="F216" s="10"/>
      <c r="G216" s="43"/>
      <c r="N216" s="9"/>
      <c r="P216" s="9"/>
    </row>
    <row r="217" spans="1:16">
      <c r="A217" s="6"/>
      <c r="B217" s="42">
        <v>46</v>
      </c>
      <c r="C217" s="21" t="s">
        <v>221</v>
      </c>
      <c r="D217" s="21"/>
      <c r="E217" s="21"/>
      <c r="F217" s="10"/>
      <c r="G217" s="43"/>
      <c r="N217" s="9"/>
      <c r="P217" s="9"/>
    </row>
    <row r="218" spans="1:16">
      <c r="A218" s="6"/>
      <c r="B218" s="42">
        <v>47</v>
      </c>
      <c r="C218" s="21" t="s">
        <v>222</v>
      </c>
      <c r="D218" s="21"/>
      <c r="E218" s="21"/>
      <c r="F218" s="10"/>
      <c r="G218" s="43"/>
      <c r="N218" s="9"/>
      <c r="P218" s="9"/>
    </row>
    <row r="219" spans="1:16">
      <c r="A219" s="6"/>
      <c r="B219" s="42">
        <v>48</v>
      </c>
      <c r="C219" s="21" t="s">
        <v>223</v>
      </c>
      <c r="D219" s="21"/>
      <c r="E219" s="21"/>
      <c r="F219" s="10"/>
      <c r="G219" s="43"/>
      <c r="N219" s="9"/>
      <c r="P219" s="9"/>
    </row>
    <row r="220" spans="1:16">
      <c r="A220" s="6"/>
      <c r="B220" s="42">
        <v>49</v>
      </c>
      <c r="C220" s="21" t="s">
        <v>224</v>
      </c>
      <c r="D220" s="21"/>
      <c r="E220" s="21"/>
      <c r="F220" s="10"/>
      <c r="G220" s="43"/>
      <c r="N220" s="9"/>
      <c r="P220" s="9"/>
    </row>
    <row r="221" spans="1:16">
      <c r="A221" s="6"/>
      <c r="B221" s="42">
        <v>50</v>
      </c>
      <c r="C221" s="21" t="s">
        <v>225</v>
      </c>
      <c r="D221" s="21"/>
      <c r="E221" s="21"/>
      <c r="F221" s="10"/>
      <c r="G221" s="43"/>
      <c r="N221" s="9"/>
      <c r="P221" s="9"/>
    </row>
    <row r="222" spans="1:16">
      <c r="A222" s="6"/>
      <c r="B222" s="42">
        <v>51</v>
      </c>
      <c r="C222" s="21" t="s">
        <v>226</v>
      </c>
      <c r="D222" s="21"/>
      <c r="E222" s="21"/>
      <c r="F222" s="10"/>
      <c r="G222" s="43"/>
      <c r="N222" s="9"/>
      <c r="P222" s="9"/>
    </row>
    <row r="223" spans="1:16">
      <c r="A223" s="6"/>
      <c r="B223" s="42">
        <v>52</v>
      </c>
      <c r="C223" s="21" t="s">
        <v>227</v>
      </c>
      <c r="D223" s="21"/>
      <c r="E223" s="21"/>
      <c r="F223" s="10"/>
      <c r="G223" s="43"/>
      <c r="N223" s="9"/>
      <c r="P223" s="9"/>
    </row>
    <row r="224" spans="1:16">
      <c r="A224" s="6"/>
      <c r="B224" s="42">
        <v>53</v>
      </c>
      <c r="C224" s="21" t="s">
        <v>228</v>
      </c>
      <c r="D224" s="21"/>
      <c r="E224" s="21"/>
      <c r="F224" s="10"/>
      <c r="G224" s="43"/>
      <c r="N224" s="9"/>
      <c r="P224" s="9"/>
    </row>
    <row r="225" spans="1:17">
      <c r="A225" s="6"/>
      <c r="B225" s="42">
        <v>54</v>
      </c>
      <c r="C225" s="21"/>
      <c r="D225" s="21"/>
      <c r="E225" s="21"/>
      <c r="F225" s="10"/>
      <c r="G225" s="43"/>
      <c r="N225" s="9"/>
      <c r="P225" s="9"/>
    </row>
    <row r="226" spans="1:17">
      <c r="A226" s="6"/>
      <c r="B226" s="42">
        <v>62</v>
      </c>
      <c r="C226" s="21"/>
      <c r="D226" s="21"/>
      <c r="E226" s="21"/>
      <c r="F226" s="10"/>
      <c r="G226" s="43"/>
      <c r="N226" s="9"/>
      <c r="P226" s="9"/>
    </row>
    <row r="227" spans="1:17">
      <c r="A227" s="6"/>
      <c r="B227" s="42">
        <v>63</v>
      </c>
      <c r="C227" s="21"/>
      <c r="D227" s="21"/>
      <c r="E227" s="21"/>
      <c r="F227" s="10"/>
      <c r="G227" s="43"/>
      <c r="N227" s="9"/>
      <c r="P227" s="9"/>
    </row>
    <row r="228" spans="1:17">
      <c r="A228" s="6"/>
      <c r="B228" s="42">
        <v>64</v>
      </c>
      <c r="C228" s="21"/>
      <c r="D228" s="21"/>
      <c r="E228" s="21"/>
      <c r="F228" s="10"/>
      <c r="G228" s="43"/>
      <c r="N228" s="9"/>
      <c r="P228" s="9"/>
    </row>
    <row r="229" spans="1:17">
      <c r="A229" s="6"/>
      <c r="B229" s="42">
        <v>65</v>
      </c>
      <c r="C229" s="21"/>
      <c r="D229" s="21"/>
      <c r="E229" s="21"/>
      <c r="F229" s="10"/>
      <c r="G229" s="43"/>
      <c r="N229" s="9"/>
      <c r="P229" s="9"/>
    </row>
    <row r="230" spans="1:17">
      <c r="A230" s="6"/>
      <c r="B230" s="42">
        <v>66</v>
      </c>
      <c r="C230" s="21"/>
      <c r="D230" s="21"/>
      <c r="E230" s="21"/>
      <c r="F230" s="10"/>
      <c r="G230" s="43"/>
      <c r="N230" s="9"/>
      <c r="P230" s="9"/>
    </row>
    <row r="231" spans="1:17" ht="3" customHeight="1">
      <c r="A231" s="6"/>
      <c r="B231" s="39"/>
      <c r="C231" s="39"/>
      <c r="D231" s="39"/>
      <c r="E231" s="39"/>
      <c r="F231" s="39"/>
      <c r="G231" s="39"/>
      <c r="N231" s="9"/>
      <c r="P231" s="9"/>
    </row>
    <row r="232" spans="1:17">
      <c r="A232" s="6"/>
      <c r="C232" s="11" t="s">
        <v>229</v>
      </c>
      <c r="N232" s="9"/>
      <c r="P232" s="9"/>
    </row>
    <row r="233" spans="1:17">
      <c r="A233" s="6"/>
      <c r="B233" s="7" t="s">
        <v>230</v>
      </c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12"/>
      <c r="O233" s="7"/>
      <c r="P233" s="12"/>
      <c r="Q233" s="7"/>
    </row>
    <row r="234" spans="1:17">
      <c r="A234" s="6"/>
      <c r="N234" s="9"/>
      <c r="P234" s="9"/>
    </row>
    <row r="235" spans="1:17">
      <c r="A235" s="6"/>
      <c r="B235" t="s">
        <v>230</v>
      </c>
      <c r="C235" s="4" t="s">
        <v>29</v>
      </c>
      <c r="D235" s="4"/>
      <c r="E235" s="4"/>
      <c r="F235" s="4" t="s">
        <v>30</v>
      </c>
      <c r="G235" s="4" t="s">
        <v>31</v>
      </c>
      <c r="N235" s="9"/>
      <c r="P235" s="9"/>
    </row>
    <row r="236" spans="1:17" ht="3" customHeight="1">
      <c r="A236" s="6"/>
      <c r="B236" s="39"/>
      <c r="C236" s="39"/>
      <c r="D236" s="39"/>
      <c r="E236" s="39"/>
      <c r="F236" s="40"/>
      <c r="G236" s="39"/>
      <c r="N236" s="9"/>
      <c r="P236" s="9"/>
    </row>
    <row r="237" spans="1:17">
      <c r="A237" s="6"/>
      <c r="B237" s="42">
        <v>1</v>
      </c>
      <c r="C237" s="21" t="s">
        <v>231</v>
      </c>
      <c r="D237" s="21"/>
      <c r="E237" s="21"/>
      <c r="F237" s="10"/>
      <c r="G237" s="43"/>
      <c r="N237" s="9"/>
      <c r="P237" s="9"/>
    </row>
    <row r="238" spans="1:17">
      <c r="A238" s="6"/>
      <c r="B238" s="42">
        <v>2</v>
      </c>
      <c r="C238" s="21" t="s">
        <v>232</v>
      </c>
      <c r="D238" s="21"/>
      <c r="E238" s="21"/>
      <c r="F238" s="10"/>
      <c r="G238" s="43"/>
      <c r="N238" s="9"/>
      <c r="P238" s="9"/>
    </row>
    <row r="239" spans="1:17">
      <c r="A239" s="6"/>
      <c r="B239" s="42">
        <v>3</v>
      </c>
      <c r="C239" s="21" t="s">
        <v>233</v>
      </c>
      <c r="D239" s="21"/>
      <c r="E239" s="21"/>
      <c r="F239" s="10"/>
      <c r="G239" s="43"/>
      <c r="N239" s="9"/>
      <c r="P239" s="9"/>
    </row>
    <row r="240" spans="1:17" ht="3" customHeight="1">
      <c r="A240" s="6"/>
      <c r="B240" s="39"/>
      <c r="C240" s="39"/>
      <c r="D240" s="39"/>
      <c r="E240" s="39"/>
      <c r="F240" s="39"/>
      <c r="G240" s="39"/>
      <c r="N240" s="9"/>
      <c r="P240" s="9"/>
    </row>
    <row r="241" spans="1:17">
      <c r="A241" s="6"/>
      <c r="C241" s="24" t="s">
        <v>230</v>
      </c>
      <c r="N241" s="9"/>
      <c r="P241" s="9"/>
    </row>
    <row r="242" spans="1:17">
      <c r="A242" s="6"/>
      <c r="B242" s="7" t="s">
        <v>230</v>
      </c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12"/>
      <c r="O242" s="7"/>
      <c r="P242" s="12"/>
      <c r="Q242" s="7"/>
    </row>
    <row r="243" spans="1:17">
      <c r="A243" s="6"/>
      <c r="N243" s="9"/>
      <c r="P243" s="9"/>
    </row>
    <row r="244" spans="1:17">
      <c r="A244" s="6"/>
      <c r="B244" t="s">
        <v>230</v>
      </c>
      <c r="C244" s="4" t="s">
        <v>29</v>
      </c>
      <c r="D244" s="4"/>
      <c r="E244" s="4"/>
      <c r="F244" s="4" t="s">
        <v>30</v>
      </c>
      <c r="G244" s="4" t="s">
        <v>31</v>
      </c>
      <c r="N244" s="9"/>
      <c r="P244" s="9"/>
    </row>
    <row r="245" spans="1:17">
      <c r="A245" s="6"/>
      <c r="B245" s="39"/>
      <c r="C245" s="39"/>
      <c r="D245" s="39"/>
      <c r="E245" s="39"/>
      <c r="F245" s="40"/>
      <c r="G245" s="39"/>
      <c r="N245" s="9"/>
      <c r="P245" s="9"/>
    </row>
    <row r="246" spans="1:17">
      <c r="A246" s="6"/>
      <c r="B246" s="42">
        <v>1</v>
      </c>
      <c r="C246" s="21" t="s">
        <v>231</v>
      </c>
      <c r="D246" s="21"/>
      <c r="E246" s="21"/>
      <c r="F246" s="10"/>
      <c r="G246" s="43"/>
      <c r="N246" s="9"/>
      <c r="P246" s="9"/>
    </row>
    <row r="247" spans="1:17">
      <c r="A247" s="6"/>
      <c r="B247" s="42">
        <v>2</v>
      </c>
      <c r="C247" s="21" t="s">
        <v>232</v>
      </c>
      <c r="D247" s="21"/>
      <c r="E247" s="21"/>
      <c r="F247" s="10"/>
      <c r="G247" s="43"/>
      <c r="N247" s="9"/>
      <c r="P247" s="9"/>
    </row>
    <row r="248" spans="1:17">
      <c r="A248" s="6"/>
      <c r="B248" s="42">
        <v>3</v>
      </c>
      <c r="C248" s="21" t="s">
        <v>233</v>
      </c>
      <c r="D248" s="21"/>
      <c r="E248" s="21"/>
      <c r="F248" s="10"/>
      <c r="G248" s="43"/>
      <c r="N248" s="9"/>
      <c r="P248" s="9"/>
    </row>
    <row r="249" spans="1:17">
      <c r="A249" s="6"/>
      <c r="B249" s="39"/>
      <c r="C249" s="39"/>
      <c r="D249" s="39"/>
      <c r="E249" s="39"/>
      <c r="F249" s="39"/>
      <c r="G249" s="39"/>
      <c r="N249" s="9"/>
      <c r="P249" s="9"/>
    </row>
    <row r="250" spans="1:17">
      <c r="A250" s="6"/>
    </row>
    <row r="251" spans="1:17">
      <c r="A251" s="6"/>
    </row>
    <row r="252" spans="1:17">
      <c r="A252" s="6"/>
    </row>
    <row r="253" spans="1:17">
      <c r="A253" s="6"/>
    </row>
    <row r="254" spans="1:17">
      <c r="A254" s="6"/>
    </row>
    <row r="255" spans="1:17">
      <c r="A255" s="6"/>
    </row>
    <row r="256" spans="1:17">
      <c r="A256" s="6"/>
    </row>
    <row r="257" spans="1:1">
      <c r="A257" s="6"/>
    </row>
  </sheetData>
  <conditionalFormatting sqref="C45:G53 C55">
    <cfRule type="expression" dxfId="72" priority="10" stopIfTrue="1">
      <formula>$G45="N"</formula>
    </cfRule>
  </conditionalFormatting>
  <conditionalFormatting sqref="O6">
    <cfRule type="cellIs" dxfId="71" priority="8" stopIfTrue="1" operator="greaterThan">
      <formula>0</formula>
    </cfRule>
    <cfRule type="cellIs" dxfId="70" priority="9" stopIfTrue="1" operator="lessThan">
      <formula>0</formula>
    </cfRule>
  </conditionalFormatting>
  <conditionalFormatting sqref="O110:O119">
    <cfRule type="cellIs" dxfId="69" priority="6" stopIfTrue="1" operator="greaterThan">
      <formula>0</formula>
    </cfRule>
    <cfRule type="cellIs" dxfId="68" priority="7" stopIfTrue="1" operator="lessThan">
      <formula>0</formula>
    </cfRule>
  </conditionalFormatting>
  <conditionalFormatting sqref="E1">
    <cfRule type="cellIs" dxfId="67" priority="4" stopIfTrue="1" operator="greaterThan">
      <formula>0</formula>
    </cfRule>
    <cfRule type="cellIs" dxfId="66" priority="5" stopIfTrue="1" operator="lessThan">
      <formula>0</formula>
    </cfRule>
  </conditionalFormatting>
  <conditionalFormatting sqref="H45:H53">
    <cfRule type="cellIs" dxfId="65" priority="3" stopIfTrue="1" operator="equal">
      <formula>"Y"</formula>
    </cfRule>
  </conditionalFormatting>
  <conditionalFormatting sqref="H33:H38">
    <cfRule type="cellIs" dxfId="64" priority="2" stopIfTrue="1" operator="equal">
      <formula>"Y"</formula>
    </cfRule>
  </conditionalFormatting>
  <conditionalFormatting sqref="H76:H85">
    <cfRule type="cellIs" dxfId="63" priority="1" stopIfTrue="1" operator="equal">
      <formula>"Y"</formula>
    </cfRule>
  </conditionalFormatting>
  <dataValidations count="1">
    <dataValidation type="list" allowBlank="1" showInputMessage="1" showErrorMessage="1" sqref="H45:H53 H33:H38 H76:H85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Y30"/>
  <sheetViews>
    <sheetView showGridLines="0" zoomScale="90" zoomScaleNormal="90" workbookViewId="0">
      <selection activeCell="U33" sqref="U33"/>
    </sheetView>
  </sheetViews>
  <sheetFormatPr defaultRowHeight="15"/>
  <cols>
    <col min="1" max="1" width="1.7109375" customWidth="1"/>
    <col min="2" max="2" width="4.5703125" customWidth="1"/>
    <col min="3" max="3" width="40.5703125" customWidth="1"/>
    <col min="4" max="4" width="9.7109375" customWidth="1"/>
    <col min="5" max="5" width="10.5703125" customWidth="1"/>
    <col min="6" max="6" width="10" customWidth="1"/>
    <col min="7" max="7" width="3" customWidth="1"/>
    <col min="8" max="10" width="4.85546875" customWidth="1"/>
    <col min="11" max="11" width="4.5703125" customWidth="1"/>
    <col min="12" max="12" width="23.85546875" customWidth="1"/>
    <col min="13" max="13" width="10.140625" bestFit="1" customWidth="1"/>
    <col min="14" max="14" width="11.140625" customWidth="1"/>
    <col min="15" max="15" width="11.42578125" customWidth="1"/>
    <col min="16" max="16" width="3.85546875" customWidth="1"/>
    <col min="17" max="18" width="4.140625" customWidth="1"/>
    <col min="19" max="19" width="7.5703125" customWidth="1"/>
    <col min="20" max="20" width="3.140625" customWidth="1"/>
    <col min="21" max="21" width="23" bestFit="1" customWidth="1"/>
    <col min="22" max="22" width="10.140625" bestFit="1" customWidth="1"/>
    <col min="25" max="25" width="4.140625" customWidth="1"/>
  </cols>
  <sheetData>
    <row r="2" spans="2:25" ht="15.75" thickBot="1">
      <c r="B2" s="93" t="s">
        <v>245</v>
      </c>
      <c r="K2" s="93" t="s">
        <v>244</v>
      </c>
      <c r="T2" s="93" t="s">
        <v>240</v>
      </c>
    </row>
    <row r="3" spans="2:25">
      <c r="B3" s="99" t="s">
        <v>289</v>
      </c>
      <c r="C3" s="79"/>
      <c r="D3" s="79"/>
      <c r="E3" s="79"/>
      <c r="F3" s="79"/>
      <c r="G3" s="80"/>
      <c r="K3" s="78"/>
      <c r="L3" s="94"/>
      <c r="M3" s="79"/>
      <c r="N3" s="79"/>
      <c r="O3" s="79"/>
      <c r="P3" s="80"/>
      <c r="T3" s="78"/>
      <c r="U3" s="94"/>
      <c r="V3" s="79"/>
      <c r="W3" s="79"/>
      <c r="X3" s="79"/>
      <c r="Y3" s="80"/>
    </row>
    <row r="4" spans="2:25">
      <c r="B4" s="81"/>
      <c r="C4" s="82"/>
      <c r="D4" s="82"/>
      <c r="E4" s="82"/>
      <c r="F4" s="82"/>
      <c r="G4" s="85"/>
      <c r="K4" s="81"/>
      <c r="L4" s="100"/>
      <c r="M4" s="95" t="s">
        <v>282</v>
      </c>
      <c r="N4" s="96"/>
      <c r="O4" s="96"/>
      <c r="P4" s="85"/>
      <c r="T4" s="81"/>
      <c r="U4" s="82"/>
      <c r="V4" s="95" t="s">
        <v>282</v>
      </c>
      <c r="W4" s="96"/>
      <c r="X4" s="96"/>
      <c r="Y4" s="85"/>
    </row>
    <row r="5" spans="2:25">
      <c r="B5" s="81"/>
      <c r="C5" s="82"/>
      <c r="D5" s="83" t="s">
        <v>261</v>
      </c>
      <c r="E5" s="83" t="s">
        <v>262</v>
      </c>
      <c r="F5" s="83" t="s">
        <v>263</v>
      </c>
      <c r="G5" s="84"/>
      <c r="K5" s="81"/>
      <c r="L5" s="100"/>
      <c r="M5" s="83" t="s">
        <v>261</v>
      </c>
      <c r="N5" s="83" t="s">
        <v>262</v>
      </c>
      <c r="O5" s="83" t="s">
        <v>263</v>
      </c>
      <c r="P5" s="85"/>
      <c r="T5" s="81"/>
      <c r="U5" s="82"/>
      <c r="V5" s="83" t="s">
        <v>261</v>
      </c>
      <c r="W5" s="83" t="s">
        <v>262</v>
      </c>
      <c r="X5" s="83" t="s">
        <v>263</v>
      </c>
      <c r="Y5" s="85"/>
    </row>
    <row r="6" spans="2:25">
      <c r="B6" s="81"/>
      <c r="C6" s="76" t="s">
        <v>265</v>
      </c>
      <c r="D6" s="191">
        <v>0</v>
      </c>
      <c r="E6" s="191">
        <v>-411409.90139892587</v>
      </c>
      <c r="F6" s="191">
        <v>-233984.99656588436</v>
      </c>
      <c r="G6" s="85"/>
      <c r="K6" s="81"/>
      <c r="L6" s="76" t="s">
        <v>575</v>
      </c>
      <c r="M6" s="102">
        <f>V6</f>
        <v>69550.502050644704</v>
      </c>
      <c r="N6" s="102">
        <f t="shared" ref="N6:O6" si="0">W6</f>
        <v>79552.473219214095</v>
      </c>
      <c r="O6" s="102">
        <f t="shared" si="0"/>
        <v>80814.162348084123</v>
      </c>
      <c r="P6" s="85"/>
      <c r="T6" s="81"/>
      <c r="U6" s="76" t="s">
        <v>575</v>
      </c>
      <c r="V6" s="106">
        <v>69550.502050644704</v>
      </c>
      <c r="W6" s="106">
        <v>79552.473219214095</v>
      </c>
      <c r="X6" s="106">
        <v>80814.162348084123</v>
      </c>
      <c r="Y6" s="85"/>
    </row>
    <row r="7" spans="2:25">
      <c r="B7" s="81"/>
      <c r="C7" s="86" t="s">
        <v>266</v>
      </c>
      <c r="D7" s="192"/>
      <c r="E7" s="192"/>
      <c r="F7" s="192"/>
      <c r="G7" s="85"/>
      <c r="K7" s="81"/>
      <c r="L7" s="76" t="s">
        <v>576</v>
      </c>
      <c r="M7" s="102">
        <f>V7</f>
        <v>45</v>
      </c>
      <c r="N7" s="102">
        <f t="shared" ref="N7" si="1">W7</f>
        <v>46</v>
      </c>
      <c r="O7" s="102">
        <f t="shared" ref="O7" si="2">X7</f>
        <v>46</v>
      </c>
      <c r="P7" s="85"/>
      <c r="T7" s="81"/>
      <c r="U7" s="76" t="s">
        <v>576</v>
      </c>
      <c r="V7" s="106">
        <v>45</v>
      </c>
      <c r="W7" s="106">
        <v>46</v>
      </c>
      <c r="X7" s="106">
        <v>46</v>
      </c>
      <c r="Y7" s="85"/>
    </row>
    <row r="8" spans="2:25">
      <c r="B8" s="81"/>
      <c r="C8" s="87" t="s">
        <v>267</v>
      </c>
      <c r="D8" s="191">
        <v>3129772.5922790118</v>
      </c>
      <c r="E8" s="191">
        <v>3659413.7680838485</v>
      </c>
      <c r="F8" s="191">
        <v>3717451.4680118696</v>
      </c>
      <c r="G8" s="85"/>
      <c r="K8" s="81"/>
      <c r="L8" s="86" t="s">
        <v>290</v>
      </c>
      <c r="M8" s="103">
        <f>M6*M7</f>
        <v>3129772.5922790118</v>
      </c>
      <c r="N8" s="103">
        <f t="shared" ref="N8:O8" si="3">N6*N7</f>
        <v>3659413.7680838485</v>
      </c>
      <c r="O8" s="103">
        <f t="shared" si="3"/>
        <v>3717451.4680118696</v>
      </c>
      <c r="P8" s="85"/>
      <c r="T8" s="81"/>
      <c r="U8" s="82"/>
      <c r="V8" s="107"/>
      <c r="W8" s="108"/>
      <c r="X8" s="108"/>
      <c r="Y8" s="85"/>
    </row>
    <row r="9" spans="2:25">
      <c r="B9" s="81"/>
      <c r="C9" s="77" t="s">
        <v>268</v>
      </c>
      <c r="D9" s="193">
        <v>3129772.5922790118</v>
      </c>
      <c r="E9" s="193">
        <v>3659413.7680838485</v>
      </c>
      <c r="F9" s="193">
        <v>3717451.4680118696</v>
      </c>
      <c r="G9" s="85"/>
      <c r="K9" s="81"/>
      <c r="L9" s="101"/>
      <c r="M9" s="104"/>
      <c r="N9" s="104"/>
      <c r="O9" s="104"/>
      <c r="P9" s="85"/>
      <c r="T9" s="81"/>
      <c r="U9" s="82"/>
      <c r="V9" s="105" t="s">
        <v>271</v>
      </c>
      <c r="W9" s="105"/>
      <c r="X9" s="105"/>
      <c r="Y9" s="85"/>
    </row>
    <row r="10" spans="2:25">
      <c r="B10" s="81"/>
      <c r="C10" s="88"/>
      <c r="D10" s="192"/>
      <c r="E10" s="192"/>
      <c r="F10" s="192"/>
      <c r="G10" s="85"/>
      <c r="K10" s="81"/>
      <c r="L10" s="101"/>
      <c r="M10" s="104"/>
      <c r="N10" s="104"/>
      <c r="O10" s="104"/>
      <c r="P10" s="85"/>
      <c r="T10" s="81"/>
      <c r="U10" s="82"/>
      <c r="V10" s="83" t="s">
        <v>261</v>
      </c>
      <c r="W10" s="83" t="s">
        <v>262</v>
      </c>
      <c r="X10" s="83" t="s">
        <v>263</v>
      </c>
      <c r="Y10" s="85"/>
    </row>
    <row r="11" spans="2:25">
      <c r="B11" s="81"/>
      <c r="C11" s="86" t="s">
        <v>269</v>
      </c>
      <c r="D11" s="192"/>
      <c r="E11" s="192"/>
      <c r="F11" s="192"/>
      <c r="G11" s="85"/>
      <c r="K11" s="81"/>
      <c r="L11" s="100"/>
      <c r="M11" s="105" t="s">
        <v>271</v>
      </c>
      <c r="N11" s="105"/>
      <c r="O11" s="105"/>
      <c r="P11" s="85"/>
      <c r="T11" s="81"/>
      <c r="U11" s="76" t="s">
        <v>283</v>
      </c>
      <c r="V11" s="106">
        <v>32.616698212953111</v>
      </c>
      <c r="W11" s="106">
        <v>28.648912935236595</v>
      </c>
      <c r="X11" s="106">
        <v>26.112617973782761</v>
      </c>
      <c r="Y11" s="85"/>
    </row>
    <row r="12" spans="2:25">
      <c r="B12" s="81"/>
      <c r="C12" s="87" t="s">
        <v>270</v>
      </c>
      <c r="D12" s="192"/>
      <c r="E12" s="192"/>
      <c r="F12" s="192"/>
      <c r="G12" s="85"/>
      <c r="K12" s="81"/>
      <c r="L12" s="100"/>
      <c r="M12" s="83" t="s">
        <v>261</v>
      </c>
      <c r="N12" s="83" t="s">
        <v>262</v>
      </c>
      <c r="O12" s="83" t="s">
        <v>263</v>
      </c>
      <c r="P12" s="85"/>
      <c r="T12" s="81"/>
      <c r="U12" s="76" t="s">
        <v>577</v>
      </c>
      <c r="V12" s="106">
        <v>28560</v>
      </c>
      <c r="W12" s="106">
        <v>29416.799999999999</v>
      </c>
      <c r="X12" s="106">
        <v>30299.304</v>
      </c>
      <c r="Y12" s="85"/>
    </row>
    <row r="13" spans="2:25">
      <c r="B13" s="81"/>
      <c r="C13" s="89" t="s">
        <v>271</v>
      </c>
      <c r="D13" s="191">
        <v>931532.90096194076</v>
      </c>
      <c r="E13" s="191">
        <v>842759.34203326784</v>
      </c>
      <c r="F13" s="191">
        <v>791194.1502235079</v>
      </c>
      <c r="G13" s="85"/>
      <c r="K13" s="81"/>
      <c r="L13" s="76" t="s">
        <v>283</v>
      </c>
      <c r="M13" s="102">
        <f>V11</f>
        <v>32.616698212953111</v>
      </c>
      <c r="N13" s="102">
        <f t="shared" ref="N13:O13" si="4">W11</f>
        <v>28.648912935236595</v>
      </c>
      <c r="O13" s="102">
        <f t="shared" si="4"/>
        <v>26.112617973782761</v>
      </c>
      <c r="P13" s="85"/>
      <c r="T13" s="81"/>
      <c r="U13" s="82"/>
      <c r="V13" s="107"/>
      <c r="W13" s="107"/>
      <c r="X13" s="107"/>
      <c r="Y13" s="85"/>
    </row>
    <row r="14" spans="2:25">
      <c r="B14" s="81"/>
      <c r="C14" s="89" t="s">
        <v>272</v>
      </c>
      <c r="D14" s="191">
        <v>2307615.896702332</v>
      </c>
      <c r="E14" s="191">
        <v>2501305.8191973018</v>
      </c>
      <c r="F14" s="191">
        <v>2625338.8531818087</v>
      </c>
      <c r="G14" s="85"/>
      <c r="K14" s="81"/>
      <c r="L14" s="76" t="s">
        <v>577</v>
      </c>
      <c r="M14" s="102">
        <f>V12</f>
        <v>28560</v>
      </c>
      <c r="N14" s="102">
        <f t="shared" ref="N14" si="5">W12</f>
        <v>29416.799999999999</v>
      </c>
      <c r="O14" s="102">
        <f t="shared" ref="O14" si="6">X12</f>
        <v>30299.304</v>
      </c>
      <c r="P14" s="85"/>
      <c r="T14" s="81"/>
      <c r="U14" s="82"/>
      <c r="V14" s="105" t="s">
        <v>284</v>
      </c>
      <c r="W14" s="105"/>
      <c r="X14" s="105"/>
      <c r="Y14" s="85"/>
    </row>
    <row r="15" spans="2:25">
      <c r="B15" s="81"/>
      <c r="C15" s="89" t="s">
        <v>273</v>
      </c>
      <c r="D15" s="191">
        <v>0</v>
      </c>
      <c r="E15" s="191">
        <v>0</v>
      </c>
      <c r="F15" s="191">
        <v>0</v>
      </c>
      <c r="G15" s="85"/>
      <c r="K15" s="81"/>
      <c r="L15" s="86" t="s">
        <v>290</v>
      </c>
      <c r="M15" s="103">
        <f>M13*M14</f>
        <v>931532.90096194088</v>
      </c>
      <c r="N15" s="103">
        <f t="shared" ref="N15:O15" si="7">N13*N14</f>
        <v>842759.34203326784</v>
      </c>
      <c r="O15" s="103">
        <f t="shared" si="7"/>
        <v>791194.1502235079</v>
      </c>
      <c r="P15" s="85"/>
      <c r="T15" s="81"/>
      <c r="U15" s="82"/>
      <c r="V15" s="83" t="s">
        <v>261</v>
      </c>
      <c r="W15" s="83" t="s">
        <v>262</v>
      </c>
      <c r="X15" s="83" t="s">
        <v>263</v>
      </c>
      <c r="Y15" s="85"/>
    </row>
    <row r="16" spans="2:25">
      <c r="B16" s="81"/>
      <c r="C16" s="87" t="s">
        <v>274</v>
      </c>
      <c r="D16" s="191">
        <v>28973.011135999997</v>
      </c>
      <c r="E16" s="191">
        <v>28973.011135999997</v>
      </c>
      <c r="F16" s="191">
        <v>28973.011135999997</v>
      </c>
      <c r="G16" s="85"/>
      <c r="K16" s="81"/>
      <c r="L16" s="101"/>
      <c r="M16" s="104"/>
      <c r="N16" s="104"/>
      <c r="O16" s="104"/>
      <c r="P16" s="85"/>
      <c r="T16" s="81"/>
      <c r="U16" s="76" t="s">
        <v>285</v>
      </c>
      <c r="V16" s="106">
        <v>28550</v>
      </c>
      <c r="W16" s="106">
        <v>24950</v>
      </c>
      <c r="X16" s="106">
        <v>24830</v>
      </c>
      <c r="Y16" s="85"/>
    </row>
    <row r="17" spans="2:25">
      <c r="B17" s="81"/>
      <c r="C17" s="87" t="s">
        <v>275</v>
      </c>
      <c r="D17" s="191">
        <v>196780.22222571753</v>
      </c>
      <c r="E17" s="191">
        <v>0</v>
      </c>
      <c r="F17" s="191">
        <v>0</v>
      </c>
      <c r="G17" s="85"/>
      <c r="K17" s="81"/>
      <c r="L17" s="101"/>
      <c r="M17" s="104"/>
      <c r="N17" s="104"/>
      <c r="O17" s="104"/>
      <c r="P17" s="85"/>
      <c r="T17" s="81"/>
      <c r="U17" s="76" t="s">
        <v>286</v>
      </c>
      <c r="V17" s="106">
        <v>50</v>
      </c>
      <c r="W17" s="106">
        <v>51</v>
      </c>
      <c r="X17" s="106">
        <v>52</v>
      </c>
      <c r="Y17" s="85"/>
    </row>
    <row r="18" spans="2:25">
      <c r="B18" s="81"/>
      <c r="C18" s="87" t="s">
        <v>276</v>
      </c>
      <c r="D18" s="191">
        <v>75151.481872906195</v>
      </c>
      <c r="E18" s="191">
        <v>72839.962118493713</v>
      </c>
      <c r="F18" s="191">
        <v>74695.171399910643</v>
      </c>
      <c r="G18" s="85"/>
      <c r="K18" s="81"/>
      <c r="L18" s="101"/>
      <c r="M18" s="104"/>
      <c r="N18" s="104"/>
      <c r="O18" s="104"/>
      <c r="P18" s="85"/>
      <c r="T18" s="81"/>
      <c r="U18" s="76"/>
      <c r="V18" s="108"/>
      <c r="W18" s="108"/>
      <c r="X18" s="108"/>
      <c r="Y18" s="85"/>
    </row>
    <row r="19" spans="2:25">
      <c r="B19" s="81"/>
      <c r="C19" s="77" t="s">
        <v>277</v>
      </c>
      <c r="D19" s="193">
        <v>3540053.5128988964</v>
      </c>
      <c r="E19" s="193">
        <v>3445878.1344850636</v>
      </c>
      <c r="F19" s="193">
        <v>3520201.1859412272</v>
      </c>
      <c r="G19" s="85"/>
      <c r="K19" s="81"/>
      <c r="L19" s="100"/>
      <c r="M19" s="105" t="s">
        <v>284</v>
      </c>
      <c r="N19" s="105"/>
      <c r="O19" s="105"/>
      <c r="P19" s="85"/>
      <c r="T19" s="81"/>
      <c r="U19" s="76" t="s">
        <v>287</v>
      </c>
      <c r="V19" s="106">
        <v>7334.2991391860996</v>
      </c>
      <c r="W19" s="106">
        <v>10240.465159977515</v>
      </c>
      <c r="X19" s="106">
        <v>10935.892239195153</v>
      </c>
      <c r="Y19" s="85"/>
    </row>
    <row r="20" spans="2:25">
      <c r="B20" s="81"/>
      <c r="C20" s="88"/>
      <c r="D20" s="192"/>
      <c r="E20" s="192"/>
      <c r="F20" s="192"/>
      <c r="G20" s="85"/>
      <c r="K20" s="81"/>
      <c r="L20" s="100"/>
      <c r="M20" s="83" t="s">
        <v>261</v>
      </c>
      <c r="N20" s="83" t="s">
        <v>262</v>
      </c>
      <c r="O20" s="83" t="s">
        <v>263</v>
      </c>
      <c r="P20" s="85"/>
      <c r="T20" s="81"/>
      <c r="U20" s="76" t="s">
        <v>288</v>
      </c>
      <c r="V20" s="106">
        <v>120</v>
      </c>
      <c r="W20" s="106">
        <v>120</v>
      </c>
      <c r="X20" s="106">
        <v>122</v>
      </c>
      <c r="Y20" s="85"/>
    </row>
    <row r="21" spans="2:25">
      <c r="B21" s="81"/>
      <c r="C21" s="77" t="s">
        <v>278</v>
      </c>
      <c r="D21" s="193">
        <v>-410280.92061988451</v>
      </c>
      <c r="E21" s="193">
        <v>213535.63359878492</v>
      </c>
      <c r="F21" s="193">
        <v>197250.28207064234</v>
      </c>
      <c r="G21" s="85"/>
      <c r="K21" s="81"/>
      <c r="L21" s="76" t="s">
        <v>285</v>
      </c>
      <c r="M21" s="102">
        <f>V16</f>
        <v>28550</v>
      </c>
      <c r="N21" s="102">
        <f t="shared" ref="N21:O21" si="8">W16</f>
        <v>24950</v>
      </c>
      <c r="O21" s="102">
        <f t="shared" si="8"/>
        <v>24830</v>
      </c>
      <c r="P21" s="85"/>
      <c r="T21" s="81"/>
      <c r="U21" s="82"/>
      <c r="V21" s="82"/>
      <c r="W21" s="82"/>
      <c r="X21" s="82"/>
      <c r="Y21" s="85"/>
    </row>
    <row r="22" spans="2:25">
      <c r="B22" s="81"/>
      <c r="C22" s="88"/>
      <c r="D22" s="192"/>
      <c r="E22" s="192"/>
      <c r="F22" s="192"/>
      <c r="G22" s="85"/>
      <c r="K22" s="81"/>
      <c r="L22" s="76" t="s">
        <v>286</v>
      </c>
      <c r="M22" s="102">
        <f>V17</f>
        <v>50</v>
      </c>
      <c r="N22" s="102">
        <f t="shared" ref="N22" si="9">W17</f>
        <v>51</v>
      </c>
      <c r="O22" s="102">
        <f t="shared" ref="O22" si="10">X17</f>
        <v>52</v>
      </c>
      <c r="P22" s="85"/>
      <c r="T22" s="81"/>
      <c r="U22" s="82"/>
      <c r="V22" s="82"/>
      <c r="W22" s="82"/>
      <c r="X22" s="82"/>
      <c r="Y22" s="85"/>
    </row>
    <row r="23" spans="2:25">
      <c r="B23" s="81"/>
      <c r="C23" s="87" t="s">
        <v>279</v>
      </c>
      <c r="D23" s="191">
        <v>0</v>
      </c>
      <c r="E23" s="191">
        <v>0</v>
      </c>
      <c r="F23" s="191">
        <v>0</v>
      </c>
      <c r="G23" s="85"/>
      <c r="K23" s="81"/>
      <c r="L23" s="86" t="s">
        <v>290</v>
      </c>
      <c r="M23" s="103">
        <f t="shared" ref="M23:O23" si="11">M21*M22</f>
        <v>1427500</v>
      </c>
      <c r="N23" s="103">
        <f t="shared" si="11"/>
        <v>1272450</v>
      </c>
      <c r="O23" s="103">
        <f t="shared" si="11"/>
        <v>1291160</v>
      </c>
      <c r="P23" s="85"/>
      <c r="T23" s="81"/>
      <c r="U23" s="82"/>
      <c r="V23" s="75"/>
      <c r="W23" s="75"/>
      <c r="X23" s="75"/>
      <c r="Y23" s="85"/>
    </row>
    <row r="24" spans="2:25">
      <c r="B24" s="81"/>
      <c r="C24" s="87" t="s">
        <v>280</v>
      </c>
      <c r="D24" s="191">
        <v>0</v>
      </c>
      <c r="E24" s="191">
        <v>0</v>
      </c>
      <c r="F24" s="191">
        <v>0</v>
      </c>
      <c r="G24" s="85"/>
      <c r="K24" s="81"/>
      <c r="L24" s="101"/>
      <c r="M24" s="104"/>
      <c r="N24" s="104"/>
      <c r="O24" s="104"/>
      <c r="P24" s="85"/>
      <c r="T24" s="81"/>
      <c r="U24" s="82"/>
      <c r="V24" s="82"/>
      <c r="W24" s="82"/>
      <c r="X24" s="82"/>
      <c r="Y24" s="85"/>
    </row>
    <row r="25" spans="2:25">
      <c r="B25" s="81"/>
      <c r="C25" s="87" t="s">
        <v>578</v>
      </c>
      <c r="D25" s="191">
        <v>1128.9807790405782</v>
      </c>
      <c r="E25" s="191">
        <v>36110.728765743355</v>
      </c>
      <c r="F25" s="191">
        <v>44082.283995570746</v>
      </c>
      <c r="G25" s="85"/>
      <c r="K25" s="81"/>
      <c r="L25" s="76" t="s">
        <v>287</v>
      </c>
      <c r="M25" s="102">
        <f>V19</f>
        <v>7334.2991391860996</v>
      </c>
      <c r="N25" s="102">
        <f t="shared" ref="N25:O25" si="12">W19</f>
        <v>10240.465159977515</v>
      </c>
      <c r="O25" s="102">
        <f t="shared" si="12"/>
        <v>10935.892239195153</v>
      </c>
      <c r="P25" s="85"/>
      <c r="T25" s="81"/>
      <c r="U25" s="82"/>
      <c r="V25" s="98"/>
      <c r="W25" s="98"/>
      <c r="X25" s="98"/>
      <c r="Y25" s="85"/>
    </row>
    <row r="26" spans="2:25">
      <c r="B26" s="81"/>
      <c r="C26" s="77" t="s">
        <v>281</v>
      </c>
      <c r="D26" s="193">
        <v>-411409.90139892511</v>
      </c>
      <c r="E26" s="193">
        <v>-233984.9965658843</v>
      </c>
      <c r="F26" s="193">
        <v>-80816.998490812766</v>
      </c>
      <c r="G26" s="85"/>
      <c r="K26" s="81"/>
      <c r="L26" s="76" t="s">
        <v>288</v>
      </c>
      <c r="M26" s="102">
        <f>V20</f>
        <v>120</v>
      </c>
      <c r="N26" s="102">
        <f t="shared" ref="N26" si="13">W20</f>
        <v>120</v>
      </c>
      <c r="O26" s="102">
        <f t="shared" ref="O26" si="14">X20</f>
        <v>122</v>
      </c>
      <c r="P26" s="85"/>
      <c r="T26" s="81"/>
      <c r="U26" s="82"/>
      <c r="V26" s="97"/>
      <c r="W26" s="97"/>
      <c r="X26" s="97"/>
      <c r="Y26" s="85"/>
    </row>
    <row r="27" spans="2:25">
      <c r="B27" s="81"/>
      <c r="C27" s="82"/>
      <c r="D27" s="82"/>
      <c r="E27" s="82"/>
      <c r="F27" s="82"/>
      <c r="G27" s="85"/>
      <c r="K27" s="81"/>
      <c r="L27" s="86" t="s">
        <v>290</v>
      </c>
      <c r="M27" s="103">
        <f t="shared" ref="M27" si="15">M25*M26</f>
        <v>880115.89670233196</v>
      </c>
      <c r="N27" s="103">
        <f t="shared" ref="N27" si="16">N25*N26</f>
        <v>1228855.8191973018</v>
      </c>
      <c r="O27" s="103">
        <f t="shared" ref="O27" si="17">O25*O26</f>
        <v>1334178.8531818087</v>
      </c>
      <c r="P27" s="85"/>
      <c r="T27" s="81"/>
      <c r="U27" s="82"/>
      <c r="V27" s="82"/>
      <c r="W27" s="82"/>
      <c r="X27" s="82"/>
      <c r="Y27" s="85"/>
    </row>
    <row r="28" spans="2:25" ht="15.75" thickBot="1">
      <c r="B28" s="90"/>
      <c r="C28" s="91"/>
      <c r="D28" s="91"/>
      <c r="E28" s="91"/>
      <c r="F28" s="91"/>
      <c r="G28" s="92"/>
      <c r="K28" s="90"/>
      <c r="L28" s="91"/>
      <c r="M28" s="91"/>
      <c r="N28" s="91"/>
      <c r="O28" s="91"/>
      <c r="P28" s="92"/>
      <c r="T28" s="90"/>
      <c r="U28" s="91"/>
      <c r="V28" s="91"/>
      <c r="W28" s="91"/>
      <c r="X28" s="91"/>
      <c r="Y28" s="92"/>
    </row>
    <row r="30" spans="2:25" ht="26.25">
      <c r="C30" s="227" t="s">
        <v>291</v>
      </c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9"/>
    </row>
  </sheetData>
  <mergeCells count="1">
    <mergeCell ref="C30:X3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W39"/>
  <sheetViews>
    <sheetView showGridLines="0" zoomScale="80" zoomScaleNormal="80" workbookViewId="0">
      <selection activeCell="Y33" sqref="Y33"/>
    </sheetView>
  </sheetViews>
  <sheetFormatPr defaultRowHeight="15"/>
  <cols>
    <col min="1" max="1" width="1.7109375" customWidth="1"/>
    <col min="2" max="2" width="4.5703125" customWidth="1"/>
    <col min="3" max="3" width="40.5703125" customWidth="1"/>
    <col min="4" max="4" width="9.7109375" customWidth="1"/>
    <col min="5" max="5" width="10.5703125" customWidth="1"/>
    <col min="6" max="6" width="10" customWidth="1"/>
    <col min="7" max="7" width="3" customWidth="1"/>
    <col min="8" max="8" width="4.85546875" customWidth="1"/>
    <col min="9" max="9" width="11.5703125" customWidth="1"/>
    <col min="10" max="10" width="4.85546875" customWidth="1"/>
    <col min="11" max="11" width="31.7109375" customWidth="1"/>
    <col min="12" max="12" width="11.140625" customWidth="1"/>
    <col min="13" max="13" width="12.5703125" customWidth="1"/>
    <col min="14" max="14" width="11.85546875" customWidth="1"/>
    <col min="16" max="16" width="7" customWidth="1"/>
    <col min="17" max="17" width="9" customWidth="1"/>
  </cols>
  <sheetData>
    <row r="2" spans="2:23" ht="15.75" thickBot="1">
      <c r="B2" s="93" t="s">
        <v>240</v>
      </c>
      <c r="J2" s="93" t="s">
        <v>244</v>
      </c>
      <c r="S2" s="93" t="s">
        <v>245</v>
      </c>
    </row>
    <row r="3" spans="2:23">
      <c r="B3" s="78"/>
      <c r="C3" s="94"/>
      <c r="D3" s="79"/>
      <c r="E3" s="79"/>
      <c r="F3" s="79"/>
      <c r="G3" s="80"/>
      <c r="J3" s="78"/>
      <c r="K3" s="94"/>
      <c r="L3" s="79"/>
      <c r="M3" s="79"/>
      <c r="N3" s="79"/>
      <c r="O3" s="80"/>
      <c r="R3" s="78"/>
      <c r="S3" s="79"/>
      <c r="T3" s="79"/>
      <c r="U3" s="79"/>
      <c r="V3" s="79"/>
      <c r="W3" s="80"/>
    </row>
    <row r="4" spans="2:23">
      <c r="B4" s="81"/>
      <c r="C4" s="95"/>
      <c r="D4" s="95" t="s">
        <v>282</v>
      </c>
      <c r="E4" s="96"/>
      <c r="F4" s="96"/>
      <c r="G4" s="85"/>
      <c r="J4" s="81"/>
      <c r="K4" s="95"/>
      <c r="L4" s="95" t="s">
        <v>309</v>
      </c>
      <c r="M4" s="96"/>
      <c r="N4" s="96"/>
      <c r="O4" s="85"/>
      <c r="R4" s="81"/>
      <c r="S4" s="82"/>
      <c r="T4" s="82"/>
      <c r="U4" s="82"/>
      <c r="V4" s="82"/>
      <c r="W4" s="85"/>
    </row>
    <row r="5" spans="2:23">
      <c r="B5" s="81"/>
      <c r="C5" s="82"/>
      <c r="D5" s="83" t="s">
        <v>261</v>
      </c>
      <c r="E5" s="83" t="s">
        <v>262</v>
      </c>
      <c r="F5" s="83" t="s">
        <v>263</v>
      </c>
      <c r="G5" s="85"/>
      <c r="J5" s="81"/>
      <c r="K5" s="82"/>
      <c r="L5" s="83" t="s">
        <v>261</v>
      </c>
      <c r="M5" s="83" t="s">
        <v>262</v>
      </c>
      <c r="N5" s="83" t="s">
        <v>263</v>
      </c>
      <c r="O5" s="85"/>
      <c r="R5" s="81"/>
      <c r="S5" s="82"/>
      <c r="T5" s="82"/>
      <c r="U5" s="82"/>
      <c r="V5" s="82"/>
      <c r="W5" s="85"/>
    </row>
    <row r="6" spans="2:23">
      <c r="B6" s="81"/>
      <c r="C6" s="76" t="s">
        <v>295</v>
      </c>
      <c r="D6" s="106">
        <v>75000</v>
      </c>
      <c r="E6" s="106">
        <v>70000</v>
      </c>
      <c r="F6" s="106">
        <v>72000</v>
      </c>
      <c r="G6" s="85"/>
      <c r="J6" s="81"/>
      <c r="K6" s="76" t="s">
        <v>295</v>
      </c>
      <c r="L6" s="102">
        <f>D6</f>
        <v>75000</v>
      </c>
      <c r="M6" s="102">
        <f t="shared" ref="M6:N6" si="0">E6</f>
        <v>70000</v>
      </c>
      <c r="N6" s="102">
        <f t="shared" si="0"/>
        <v>72000</v>
      </c>
      <c r="O6" s="85"/>
      <c r="R6" s="81"/>
      <c r="S6" s="82"/>
      <c r="T6" s="82"/>
      <c r="U6" s="82"/>
      <c r="V6" s="82"/>
      <c r="W6" s="85"/>
    </row>
    <row r="7" spans="2:23">
      <c r="B7" s="81"/>
      <c r="C7" s="76" t="s">
        <v>299</v>
      </c>
      <c r="D7" s="106">
        <v>32500</v>
      </c>
      <c r="E7" s="106">
        <v>21950</v>
      </c>
      <c r="F7" s="106">
        <v>22300</v>
      </c>
      <c r="G7" s="85"/>
      <c r="J7" s="81"/>
      <c r="K7" s="76" t="s">
        <v>302</v>
      </c>
      <c r="L7" s="102">
        <f>D15</f>
        <v>24</v>
      </c>
      <c r="M7" s="102">
        <f t="shared" ref="M7:N7" si="1">E15</f>
        <v>25</v>
      </c>
      <c r="N7" s="102">
        <f t="shared" si="1"/>
        <v>26</v>
      </c>
      <c r="O7" s="85"/>
      <c r="R7" s="81"/>
      <c r="S7" s="82"/>
      <c r="T7" s="82"/>
      <c r="U7" s="82"/>
      <c r="V7" s="82"/>
      <c r="W7" s="85"/>
    </row>
    <row r="8" spans="2:23">
      <c r="B8" s="81"/>
      <c r="C8" s="76" t="s">
        <v>300</v>
      </c>
      <c r="D8" s="106">
        <v>24500</v>
      </c>
      <c r="E8" s="106">
        <v>9500</v>
      </c>
      <c r="F8" s="106">
        <v>13450</v>
      </c>
      <c r="G8" s="85"/>
      <c r="J8" s="81"/>
      <c r="K8" s="76" t="s">
        <v>303</v>
      </c>
      <c r="L8" s="103">
        <f>L6*L7</f>
        <v>1800000</v>
      </c>
      <c r="M8" s="103">
        <f t="shared" ref="M8:N8" si="2">M6*M7</f>
        <v>1750000</v>
      </c>
      <c r="N8" s="103">
        <f t="shared" si="2"/>
        <v>1872000</v>
      </c>
      <c r="O8" s="85"/>
      <c r="R8" s="81"/>
      <c r="S8" s="82"/>
      <c r="T8" s="82"/>
      <c r="U8" s="82"/>
      <c r="V8" s="82"/>
      <c r="W8" s="85"/>
    </row>
    <row r="9" spans="2:23">
      <c r="B9" s="81"/>
      <c r="C9" s="76"/>
      <c r="D9" s="107"/>
      <c r="E9" s="108"/>
      <c r="F9" s="108"/>
      <c r="G9" s="85"/>
      <c r="J9" s="81"/>
      <c r="K9" s="76"/>
      <c r="L9" s="107"/>
      <c r="M9" s="108"/>
      <c r="N9" s="108"/>
      <c r="O9" s="85"/>
      <c r="R9" s="81"/>
      <c r="S9" s="82"/>
      <c r="T9" s="82"/>
      <c r="U9" s="82"/>
      <c r="V9" s="82"/>
      <c r="W9" s="85"/>
    </row>
    <row r="10" spans="2:23">
      <c r="B10" s="81"/>
      <c r="C10" s="76" t="s">
        <v>296</v>
      </c>
      <c r="D10" s="106">
        <v>15000</v>
      </c>
      <c r="E10" s="106">
        <v>18000</v>
      </c>
      <c r="F10" s="106">
        <v>17300</v>
      </c>
      <c r="G10" s="85"/>
      <c r="J10" s="81"/>
      <c r="K10" s="76" t="s">
        <v>304</v>
      </c>
      <c r="L10" s="102">
        <v>0</v>
      </c>
      <c r="M10" s="102">
        <f>L13</f>
        <v>17500</v>
      </c>
      <c r="N10" s="102">
        <f>M13</f>
        <v>21450</v>
      </c>
      <c r="O10" s="85"/>
      <c r="R10" s="81"/>
      <c r="S10" s="82"/>
      <c r="T10" s="82"/>
      <c r="U10" s="82"/>
      <c r="V10" s="82"/>
      <c r="W10" s="85"/>
    </row>
    <row r="11" spans="2:23">
      <c r="B11" s="81"/>
      <c r="C11" s="76" t="s">
        <v>297</v>
      </c>
      <c r="D11" s="106">
        <v>42500</v>
      </c>
      <c r="E11" s="106">
        <v>48050</v>
      </c>
      <c r="F11" s="106">
        <v>49700</v>
      </c>
      <c r="G11" s="85"/>
      <c r="J11" s="81"/>
      <c r="K11" s="76" t="s">
        <v>306</v>
      </c>
      <c r="L11" s="102">
        <f>D7</f>
        <v>32500</v>
      </c>
      <c r="M11" s="102">
        <f>E7</f>
        <v>21950</v>
      </c>
      <c r="N11" s="102">
        <f>F7</f>
        <v>22300</v>
      </c>
      <c r="O11" s="85"/>
      <c r="R11" s="81"/>
      <c r="S11" s="82"/>
      <c r="T11" s="82"/>
      <c r="U11" s="82"/>
      <c r="V11" s="82"/>
      <c r="W11" s="85"/>
    </row>
    <row r="12" spans="2:23">
      <c r="B12" s="81"/>
      <c r="C12" s="76"/>
      <c r="D12" s="107"/>
      <c r="E12" s="108"/>
      <c r="F12" s="108"/>
      <c r="G12" s="85"/>
      <c r="J12" s="81"/>
      <c r="K12" s="76" t="s">
        <v>307</v>
      </c>
      <c r="L12" s="102">
        <f>-D10</f>
        <v>-15000</v>
      </c>
      <c r="M12" s="102">
        <f>-E10</f>
        <v>-18000</v>
      </c>
      <c r="N12" s="102">
        <f>-F10</f>
        <v>-17300</v>
      </c>
      <c r="O12" s="85"/>
      <c r="R12" s="81"/>
      <c r="S12" s="82"/>
      <c r="T12" s="82"/>
      <c r="U12" s="82"/>
      <c r="V12" s="82"/>
      <c r="W12" s="85"/>
    </row>
    <row r="13" spans="2:23">
      <c r="B13" s="81"/>
      <c r="C13" s="76" t="s">
        <v>301</v>
      </c>
      <c r="D13" s="106">
        <v>31</v>
      </c>
      <c r="E13" s="106">
        <v>31</v>
      </c>
      <c r="F13" s="106">
        <v>31</v>
      </c>
      <c r="G13" s="85"/>
      <c r="J13" s="81"/>
      <c r="K13" s="76" t="s">
        <v>305</v>
      </c>
      <c r="L13" s="103">
        <f>SUM(L10:L12)</f>
        <v>17500</v>
      </c>
      <c r="M13" s="103">
        <f t="shared" ref="M13:N13" si="3">SUM(M10:M12)</f>
        <v>21450</v>
      </c>
      <c r="N13" s="103">
        <f t="shared" si="3"/>
        <v>26450</v>
      </c>
      <c r="O13" s="85"/>
      <c r="R13" s="81"/>
      <c r="S13" s="82"/>
      <c r="T13" s="82"/>
      <c r="U13" s="82"/>
      <c r="V13" s="82"/>
      <c r="W13" s="85"/>
    </row>
    <row r="14" spans="2:23">
      <c r="B14" s="81"/>
      <c r="C14" s="76" t="s">
        <v>298</v>
      </c>
      <c r="D14" s="106">
        <v>33</v>
      </c>
      <c r="E14" s="106">
        <v>34</v>
      </c>
      <c r="F14" s="106">
        <v>35</v>
      </c>
      <c r="G14" s="85"/>
      <c r="J14" s="81"/>
      <c r="K14" s="76"/>
      <c r="O14" s="85"/>
      <c r="R14" s="81"/>
      <c r="S14" s="82"/>
      <c r="T14" s="82"/>
      <c r="U14" s="82"/>
      <c r="V14" s="82"/>
      <c r="W14" s="85"/>
    </row>
    <row r="15" spans="2:23">
      <c r="B15" s="81"/>
      <c r="C15" s="76" t="s">
        <v>302</v>
      </c>
      <c r="D15" s="106">
        <v>24</v>
      </c>
      <c r="E15" s="106">
        <v>25</v>
      </c>
      <c r="F15" s="106">
        <v>26</v>
      </c>
      <c r="G15" s="85"/>
      <c r="J15" s="81"/>
      <c r="K15" s="76" t="s">
        <v>308</v>
      </c>
      <c r="L15" s="102">
        <f>ABS(L12)*D13</f>
        <v>465000</v>
      </c>
      <c r="M15" s="102">
        <f>(ABS(M10)*D13)+(ABS(M12+M10)*E13)</f>
        <v>558000</v>
      </c>
      <c r="N15" s="102">
        <f>(ABS(N10)*E13)+(ABS(N12+N10)*F13)</f>
        <v>793600</v>
      </c>
      <c r="O15" s="85"/>
      <c r="R15" s="81"/>
      <c r="S15" s="82"/>
      <c r="T15" s="82"/>
      <c r="U15" s="82"/>
      <c r="V15" s="82"/>
      <c r="W15" s="85"/>
    </row>
    <row r="16" spans="2:23">
      <c r="B16" s="81"/>
      <c r="C16" s="82"/>
      <c r="D16" s="107"/>
      <c r="E16" s="108"/>
      <c r="F16" s="108"/>
      <c r="G16" s="85"/>
      <c r="J16" s="81"/>
      <c r="K16" s="82"/>
      <c r="L16" s="107"/>
      <c r="M16" s="108"/>
      <c r="N16" s="108"/>
      <c r="O16" s="85"/>
      <c r="R16" s="81"/>
      <c r="S16" s="82"/>
      <c r="T16" s="82"/>
      <c r="U16" s="82"/>
      <c r="V16" s="82"/>
      <c r="W16" s="85"/>
    </row>
    <row r="17" spans="2:23">
      <c r="B17" s="81"/>
      <c r="C17" s="95"/>
      <c r="D17" s="105" t="s">
        <v>271</v>
      </c>
      <c r="E17" s="105"/>
      <c r="F17" s="105"/>
      <c r="G17" s="85"/>
      <c r="J17" s="81"/>
      <c r="K17" s="95"/>
      <c r="L17" s="105" t="s">
        <v>271</v>
      </c>
      <c r="M17" s="105"/>
      <c r="N17" s="105"/>
      <c r="O17" s="85"/>
      <c r="R17" s="81"/>
      <c r="S17" s="82"/>
      <c r="T17" s="82"/>
      <c r="U17" s="82"/>
      <c r="V17" s="82"/>
      <c r="W17" s="85"/>
    </row>
    <row r="18" spans="2:23">
      <c r="B18" s="81"/>
      <c r="C18" s="82"/>
      <c r="D18" s="83" t="s">
        <v>261</v>
      </c>
      <c r="E18" s="83" t="s">
        <v>262</v>
      </c>
      <c r="F18" s="83" t="s">
        <v>263</v>
      </c>
      <c r="G18" s="85"/>
      <c r="J18" s="81"/>
      <c r="K18" s="82"/>
      <c r="L18" s="83" t="s">
        <v>261</v>
      </c>
      <c r="M18" s="83" t="s">
        <v>262</v>
      </c>
      <c r="N18" s="83" t="s">
        <v>263</v>
      </c>
      <c r="O18" s="85"/>
      <c r="R18" s="81"/>
      <c r="S18" s="82"/>
      <c r="T18" s="82"/>
      <c r="U18" s="82"/>
      <c r="V18" s="82"/>
      <c r="W18" s="85"/>
    </row>
    <row r="19" spans="2:23">
      <c r="B19" s="81"/>
      <c r="C19" s="76" t="s">
        <v>292</v>
      </c>
      <c r="D19" s="106">
        <v>13</v>
      </c>
      <c r="E19" s="106">
        <v>13</v>
      </c>
      <c r="F19" s="106">
        <v>11</v>
      </c>
      <c r="G19" s="85"/>
      <c r="J19" s="81"/>
      <c r="K19" s="76" t="s">
        <v>572</v>
      </c>
      <c r="L19" s="102">
        <f>D19*D20</f>
        <v>312780</v>
      </c>
      <c r="M19" s="102">
        <f t="shared" ref="M19:N19" si="4">E19*E20</f>
        <v>322163.39999999997</v>
      </c>
      <c r="N19" s="102">
        <f t="shared" si="4"/>
        <v>280777.79399999999</v>
      </c>
      <c r="O19" s="85"/>
      <c r="R19" s="81"/>
      <c r="S19" s="82"/>
      <c r="T19" s="82"/>
      <c r="U19" s="82"/>
      <c r="V19" s="82"/>
      <c r="W19" s="85"/>
    </row>
    <row r="20" spans="2:23">
      <c r="B20" s="81"/>
      <c r="C20" s="76" t="s">
        <v>294</v>
      </c>
      <c r="D20" s="106">
        <v>24060</v>
      </c>
      <c r="E20" s="106">
        <f>D20*1.03</f>
        <v>24781.8</v>
      </c>
      <c r="F20" s="106">
        <f>E20*1.03</f>
        <v>25525.254000000001</v>
      </c>
      <c r="G20" s="85"/>
      <c r="J20" s="81"/>
      <c r="O20" s="85"/>
      <c r="R20" s="81"/>
      <c r="S20" s="82"/>
      <c r="T20" s="82"/>
      <c r="U20" s="82"/>
      <c r="V20" s="82"/>
      <c r="W20" s="85"/>
    </row>
    <row r="21" spans="2:23">
      <c r="B21" s="81"/>
      <c r="C21" s="76"/>
      <c r="D21" s="107"/>
      <c r="E21" s="107"/>
      <c r="F21" s="107"/>
      <c r="G21" s="85"/>
      <c r="J21" s="81"/>
      <c r="K21" s="76" t="s">
        <v>573</v>
      </c>
      <c r="L21" s="102">
        <f>D22*D23</f>
        <v>294500</v>
      </c>
      <c r="M21" s="102">
        <f t="shared" ref="M21:N21" si="5">E22*E23</f>
        <v>303335</v>
      </c>
      <c r="N21" s="102">
        <f t="shared" si="5"/>
        <v>312435.05</v>
      </c>
      <c r="O21" s="85"/>
      <c r="R21" s="81"/>
      <c r="S21" s="82"/>
      <c r="T21" s="82"/>
      <c r="U21" s="82"/>
      <c r="V21" s="82"/>
      <c r="W21" s="85"/>
    </row>
    <row r="22" spans="2:23">
      <c r="B22" s="81"/>
      <c r="C22" s="76" t="s">
        <v>293</v>
      </c>
      <c r="D22" s="106">
        <v>10</v>
      </c>
      <c r="E22" s="106">
        <v>10</v>
      </c>
      <c r="F22" s="106">
        <v>10</v>
      </c>
      <c r="G22" s="85"/>
      <c r="J22" s="81"/>
      <c r="O22" s="85"/>
      <c r="R22" s="81"/>
      <c r="S22" s="82"/>
      <c r="T22" s="82"/>
      <c r="U22" s="82"/>
      <c r="V22" s="82"/>
      <c r="W22" s="85"/>
    </row>
    <row r="23" spans="2:23">
      <c r="B23" s="81"/>
      <c r="C23" s="76" t="s">
        <v>294</v>
      </c>
      <c r="D23" s="106">
        <v>29450</v>
      </c>
      <c r="E23" s="106">
        <f>D23*1.03</f>
        <v>30333.5</v>
      </c>
      <c r="F23" s="106">
        <f>E23*1.03</f>
        <v>31243.505000000001</v>
      </c>
      <c r="G23" s="85"/>
      <c r="J23" s="81"/>
      <c r="K23" s="76" t="s">
        <v>574</v>
      </c>
      <c r="L23" s="102">
        <f>D25*D26</f>
        <v>321120</v>
      </c>
      <c r="M23" s="102">
        <f t="shared" ref="M23:N23" si="6">E25*E26</f>
        <v>330753.59999999998</v>
      </c>
      <c r="N23" s="102">
        <f t="shared" si="6"/>
        <v>340676.20800000004</v>
      </c>
      <c r="O23" s="85"/>
      <c r="R23" s="81"/>
      <c r="S23" s="82"/>
      <c r="T23" s="82"/>
      <c r="U23" s="82"/>
      <c r="V23" s="82"/>
      <c r="W23" s="85"/>
    </row>
    <row r="24" spans="2:23">
      <c r="B24" s="81"/>
      <c r="C24" s="76"/>
      <c r="D24" s="107"/>
      <c r="E24" s="107"/>
      <c r="F24" s="107"/>
      <c r="G24" s="85"/>
      <c r="J24" s="81"/>
      <c r="K24" s="82"/>
      <c r="L24" s="107"/>
      <c r="M24" s="107"/>
      <c r="N24" s="107"/>
      <c r="O24" s="85"/>
      <c r="R24" s="81"/>
      <c r="S24" s="82"/>
      <c r="T24" s="82"/>
      <c r="U24" s="82"/>
      <c r="V24" s="82"/>
      <c r="W24" s="85"/>
    </row>
    <row r="25" spans="2:23">
      <c r="B25" s="81"/>
      <c r="C25" s="76" t="s">
        <v>310</v>
      </c>
      <c r="D25" s="106">
        <v>10</v>
      </c>
      <c r="E25" s="106">
        <v>10</v>
      </c>
      <c r="F25" s="106">
        <v>10</v>
      </c>
      <c r="G25" s="85"/>
      <c r="J25" s="81"/>
      <c r="K25" s="95"/>
      <c r="L25" s="105" t="s">
        <v>284</v>
      </c>
      <c r="M25" s="105"/>
      <c r="N25" s="105"/>
      <c r="O25" s="85"/>
      <c r="R25" s="81"/>
      <c r="S25" s="82"/>
      <c r="T25" s="82"/>
      <c r="U25" s="82"/>
      <c r="V25" s="82"/>
      <c r="W25" s="85"/>
    </row>
    <row r="26" spans="2:23">
      <c r="B26" s="81"/>
      <c r="C26" s="76" t="s">
        <v>294</v>
      </c>
      <c r="D26" s="106">
        <v>32112</v>
      </c>
      <c r="E26" s="106">
        <f>D26*1.03</f>
        <v>33075.360000000001</v>
      </c>
      <c r="F26" s="106">
        <f>E26*1.03</f>
        <v>34067.620800000004</v>
      </c>
      <c r="G26" s="85"/>
      <c r="J26" s="81"/>
      <c r="K26" s="82"/>
      <c r="L26" s="83" t="s">
        <v>261</v>
      </c>
      <c r="M26" s="83" t="s">
        <v>262</v>
      </c>
      <c r="N26" s="83" t="s">
        <v>263</v>
      </c>
      <c r="O26" s="85"/>
      <c r="R26" s="81"/>
      <c r="S26" s="82"/>
      <c r="T26" s="82"/>
      <c r="U26" s="82"/>
      <c r="V26" s="82"/>
      <c r="W26" s="85"/>
    </row>
    <row r="27" spans="2:23">
      <c r="B27" s="81"/>
      <c r="C27" s="82"/>
      <c r="D27" s="107"/>
      <c r="E27" s="107"/>
      <c r="F27" s="107"/>
      <c r="G27" s="85"/>
      <c r="J27" s="81"/>
      <c r="K27" s="76" t="s">
        <v>311</v>
      </c>
      <c r="L27" s="102">
        <f>D31*D32</f>
        <v>427500</v>
      </c>
      <c r="M27" s="102">
        <f t="shared" ref="M27:N27" si="7">E31*E32</f>
        <v>410550</v>
      </c>
      <c r="N27" s="102">
        <f t="shared" si="7"/>
        <v>369720</v>
      </c>
      <c r="O27" s="85"/>
      <c r="R27" s="81"/>
      <c r="S27" s="82"/>
      <c r="T27" s="82"/>
      <c r="U27" s="82"/>
      <c r="V27" s="82"/>
      <c r="W27" s="85"/>
    </row>
    <row r="28" spans="2:23">
      <c r="B28" s="81"/>
      <c r="C28" s="82"/>
      <c r="D28" s="107"/>
      <c r="E28" s="107"/>
      <c r="F28" s="107"/>
      <c r="G28" s="85"/>
      <c r="J28" s="81"/>
      <c r="K28" s="76"/>
      <c r="O28" s="85"/>
      <c r="R28" s="81"/>
      <c r="S28" s="82"/>
      <c r="T28" s="82"/>
      <c r="U28" s="82"/>
      <c r="V28" s="82"/>
      <c r="W28" s="85"/>
    </row>
    <row r="29" spans="2:23">
      <c r="B29" s="81"/>
      <c r="C29" s="95"/>
      <c r="D29" s="105" t="s">
        <v>284</v>
      </c>
      <c r="E29" s="105"/>
      <c r="F29" s="105"/>
      <c r="G29" s="85"/>
      <c r="J29" s="81"/>
      <c r="K29" s="76" t="s">
        <v>312</v>
      </c>
      <c r="L29" s="102">
        <f>D34*D35</f>
        <v>504032.90096194076</v>
      </c>
      <c r="M29" s="102">
        <f t="shared" ref="M29:N29" si="8">E34*E35</f>
        <v>432209.34203326784</v>
      </c>
      <c r="N29" s="102">
        <f t="shared" si="8"/>
        <v>421474.1502235079</v>
      </c>
      <c r="O29" s="85"/>
      <c r="R29" s="81"/>
      <c r="S29" s="82"/>
      <c r="T29" s="82"/>
      <c r="U29" s="82"/>
      <c r="V29" s="82"/>
      <c r="W29" s="85"/>
    </row>
    <row r="30" spans="2:23">
      <c r="B30" s="81"/>
      <c r="C30" s="82"/>
      <c r="D30" s="83" t="s">
        <v>261</v>
      </c>
      <c r="E30" s="83" t="s">
        <v>262</v>
      </c>
      <c r="F30" s="83" t="s">
        <v>263</v>
      </c>
      <c r="G30" s="85"/>
      <c r="J30" s="81"/>
      <c r="O30" s="85"/>
      <c r="R30" s="81"/>
      <c r="S30" s="82"/>
      <c r="T30" s="82"/>
      <c r="U30" s="82"/>
      <c r="V30" s="82"/>
      <c r="W30" s="85"/>
    </row>
    <row r="31" spans="2:23">
      <c r="B31" s="81"/>
      <c r="C31" s="76" t="s">
        <v>285</v>
      </c>
      <c r="D31" s="106">
        <v>8550</v>
      </c>
      <c r="E31" s="106">
        <v>8050</v>
      </c>
      <c r="F31" s="106">
        <v>7110</v>
      </c>
      <c r="G31" s="85"/>
      <c r="J31" s="81"/>
      <c r="O31" s="85"/>
      <c r="R31" s="81"/>
      <c r="S31" s="82"/>
      <c r="T31" s="82"/>
      <c r="U31" s="82"/>
      <c r="V31" s="82"/>
      <c r="W31" s="85"/>
    </row>
    <row r="32" spans="2:23">
      <c r="B32" s="81"/>
      <c r="C32" s="76" t="s">
        <v>286</v>
      </c>
      <c r="D32" s="106">
        <v>50</v>
      </c>
      <c r="E32" s="106">
        <v>51</v>
      </c>
      <c r="F32" s="106">
        <v>52</v>
      </c>
      <c r="G32" s="85"/>
      <c r="J32" s="81"/>
      <c r="O32" s="85"/>
      <c r="R32" s="81"/>
      <c r="S32" s="82"/>
      <c r="T32" s="82"/>
      <c r="U32" s="82"/>
      <c r="V32" s="82"/>
      <c r="W32" s="85"/>
    </row>
    <row r="33" spans="2:23">
      <c r="B33" s="81"/>
      <c r="C33" s="76"/>
      <c r="D33" s="108"/>
      <c r="E33" s="108"/>
      <c r="F33" s="108"/>
      <c r="G33" s="85"/>
      <c r="J33" s="81"/>
      <c r="O33" s="85"/>
      <c r="R33" s="81"/>
      <c r="S33" s="82"/>
      <c r="T33" s="82"/>
      <c r="U33" s="82"/>
      <c r="V33" s="82"/>
      <c r="W33" s="85"/>
    </row>
    <row r="34" spans="2:23">
      <c r="B34" s="81"/>
      <c r="C34" s="76" t="s">
        <v>287</v>
      </c>
      <c r="D34" s="106">
        <v>4200.2741746828397</v>
      </c>
      <c r="E34" s="106">
        <v>3601.7445169438988</v>
      </c>
      <c r="F34" s="106">
        <v>3454.7061493730157</v>
      </c>
      <c r="G34" s="85"/>
      <c r="J34" s="81"/>
      <c r="O34" s="85"/>
      <c r="R34" s="81"/>
      <c r="S34" s="82"/>
      <c r="T34" s="82"/>
      <c r="U34" s="82"/>
      <c r="V34" s="82"/>
      <c r="W34" s="85"/>
    </row>
    <row r="35" spans="2:23">
      <c r="B35" s="81"/>
      <c r="C35" s="76" t="s">
        <v>288</v>
      </c>
      <c r="D35" s="106">
        <v>120</v>
      </c>
      <c r="E35" s="106">
        <v>120</v>
      </c>
      <c r="F35" s="106">
        <v>122</v>
      </c>
      <c r="G35" s="85"/>
      <c r="J35" s="81"/>
      <c r="O35" s="85"/>
      <c r="R35" s="81"/>
      <c r="S35" s="82"/>
      <c r="T35" s="82"/>
      <c r="U35" s="82"/>
      <c r="V35" s="82"/>
      <c r="W35" s="85"/>
    </row>
    <row r="36" spans="2:23">
      <c r="B36" s="81"/>
      <c r="C36" s="82"/>
      <c r="D36" s="82"/>
      <c r="E36" s="82"/>
      <c r="F36" s="82"/>
      <c r="G36" s="85"/>
      <c r="J36" s="81"/>
      <c r="K36" s="82"/>
      <c r="L36" s="82"/>
      <c r="M36" s="82"/>
      <c r="N36" s="82"/>
      <c r="O36" s="85"/>
      <c r="R36" s="81"/>
      <c r="S36" s="82"/>
      <c r="T36" s="82"/>
      <c r="U36" s="82"/>
      <c r="V36" s="82"/>
      <c r="W36" s="85"/>
    </row>
    <row r="37" spans="2:23" ht="15.75" thickBot="1">
      <c r="B37" s="90"/>
      <c r="C37" s="91"/>
      <c r="D37" s="91"/>
      <c r="E37" s="91"/>
      <c r="F37" s="91"/>
      <c r="G37" s="92"/>
      <c r="J37" s="90"/>
      <c r="K37" s="91"/>
      <c r="L37" s="91"/>
      <c r="M37" s="91"/>
      <c r="N37" s="91"/>
      <c r="O37" s="92"/>
      <c r="R37" s="90"/>
      <c r="S37" s="91"/>
      <c r="T37" s="91"/>
      <c r="U37" s="91"/>
      <c r="V37" s="91"/>
      <c r="W37" s="92"/>
    </row>
    <row r="39" spans="2:23" ht="23.25">
      <c r="C39" s="230" t="s">
        <v>313</v>
      </c>
      <c r="D39" s="231"/>
      <c r="E39" s="231"/>
      <c r="F39" s="231"/>
      <c r="G39" s="231"/>
      <c r="H39" s="231"/>
      <c r="I39" s="231"/>
      <c r="J39" s="231"/>
      <c r="K39" s="231"/>
      <c r="L39" s="231"/>
      <c r="M39" s="231"/>
      <c r="N39" s="231"/>
      <c r="O39" s="231"/>
      <c r="P39" s="231"/>
      <c r="Q39" s="231"/>
      <c r="R39" s="231"/>
      <c r="S39" s="231"/>
      <c r="T39" s="231"/>
      <c r="U39" s="231"/>
      <c r="V39" s="231"/>
      <c r="W39" s="232"/>
    </row>
  </sheetData>
  <mergeCells count="1">
    <mergeCell ref="C39:W3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Y50"/>
  <sheetViews>
    <sheetView showGridLines="0" zoomScaleNormal="100" workbookViewId="0">
      <selection activeCell="K34" sqref="K34"/>
    </sheetView>
  </sheetViews>
  <sheetFormatPr defaultRowHeight="12.75" zeroHeight="1"/>
  <cols>
    <col min="1" max="4" width="9.140625" style="111"/>
    <col min="5" max="9" width="3.7109375" style="111" customWidth="1"/>
    <col min="10" max="10" width="13.28515625" style="111" customWidth="1"/>
    <col min="11" max="11" width="13" style="111" customWidth="1"/>
    <col min="12" max="12" width="12.85546875" style="111" customWidth="1"/>
    <col min="13" max="13" width="13.85546875" style="111" customWidth="1"/>
    <col min="14" max="14" width="12.7109375" style="111" bestFit="1" customWidth="1"/>
    <col min="15" max="15" width="12.85546875" style="111" bestFit="1" customWidth="1"/>
    <col min="16" max="16" width="12.7109375" style="111" bestFit="1" customWidth="1"/>
    <col min="17" max="17" width="13.140625" style="111" bestFit="1" customWidth="1"/>
    <col min="18" max="18" width="13.5703125" style="111" customWidth="1"/>
    <col min="19" max="19" width="13.7109375" style="111" customWidth="1"/>
    <col min="20" max="24" width="13" style="111" bestFit="1" customWidth="1"/>
    <col min="25" max="26" width="12.7109375" style="111" bestFit="1" customWidth="1"/>
    <col min="27" max="27" width="12.85546875" style="111" bestFit="1" customWidth="1"/>
    <col min="28" max="28" width="12.5703125" style="111" bestFit="1" customWidth="1"/>
    <col min="29" max="29" width="13" style="111" bestFit="1" customWidth="1"/>
    <col min="30" max="30" width="12.42578125" style="111" bestFit="1" customWidth="1"/>
    <col min="31" max="31" width="11.7109375" style="111" bestFit="1" customWidth="1"/>
    <col min="32" max="33" width="12.85546875" style="111" bestFit="1" customWidth="1"/>
    <col min="34" max="34" width="12.42578125" style="111" bestFit="1" customWidth="1"/>
    <col min="35" max="36" width="12.85546875" style="111" bestFit="1" customWidth="1"/>
    <col min="37" max="37" width="12.42578125" style="111" bestFit="1" customWidth="1"/>
    <col min="38" max="38" width="12.5703125" style="111" bestFit="1" customWidth="1"/>
    <col min="39" max="39" width="12.7109375" style="111" bestFit="1" customWidth="1"/>
    <col min="40" max="40" width="12.5703125" style="111" bestFit="1" customWidth="1"/>
    <col min="41" max="41" width="13" style="111" bestFit="1" customWidth="1"/>
    <col min="42" max="42" width="12.42578125" style="111" bestFit="1" customWidth="1"/>
    <col min="43" max="43" width="11.7109375" style="111" bestFit="1" customWidth="1"/>
    <col min="44" max="48" width="12.85546875" style="111" bestFit="1" customWidth="1"/>
    <col min="49" max="49" width="12.42578125" style="111" bestFit="1" customWidth="1"/>
    <col min="50" max="50" width="12.5703125" style="111" bestFit="1" customWidth="1"/>
    <col min="51" max="51" width="12.7109375" style="111" bestFit="1" customWidth="1"/>
    <col min="52" max="52" width="12.5703125" style="111" bestFit="1" customWidth="1"/>
    <col min="53" max="53" width="13" style="111" bestFit="1" customWidth="1"/>
    <col min="54" max="54" width="12.42578125" style="111" bestFit="1" customWidth="1"/>
    <col min="55" max="55" width="11.7109375" style="111" bestFit="1" customWidth="1"/>
    <col min="56" max="57" width="12.85546875" style="111" bestFit="1" customWidth="1"/>
    <col min="58" max="58" width="12.42578125" style="111" bestFit="1" customWidth="1"/>
    <col min="59" max="60" width="12.85546875" style="111" bestFit="1" customWidth="1"/>
    <col min="61" max="61" width="12.42578125" style="111" bestFit="1" customWidth="1"/>
    <col min="62" max="62" width="12.5703125" style="111" bestFit="1" customWidth="1"/>
    <col min="63" max="63" width="12.7109375" style="111" bestFit="1" customWidth="1"/>
    <col min="64" max="64" width="12.5703125" style="111" bestFit="1" customWidth="1"/>
    <col min="65" max="65" width="13" style="111" bestFit="1" customWidth="1"/>
    <col min="66" max="66" width="12.42578125" style="111" bestFit="1" customWidth="1"/>
    <col min="67" max="67" width="11.7109375" style="111" bestFit="1" customWidth="1"/>
    <col min="68" max="69" width="12.85546875" style="111" bestFit="1" customWidth="1"/>
    <col min="70" max="70" width="12.42578125" style="111" bestFit="1" customWidth="1"/>
    <col min="71" max="72" width="12.85546875" style="111" bestFit="1" customWidth="1"/>
    <col min="73" max="73" width="12.42578125" style="111" bestFit="1" customWidth="1"/>
    <col min="74" max="74" width="12.5703125" style="111" bestFit="1" customWidth="1"/>
    <col min="75" max="75" width="12.7109375" style="111" bestFit="1" customWidth="1"/>
    <col min="76" max="76" width="12.5703125" style="111" bestFit="1" customWidth="1"/>
    <col min="77" max="77" width="13" style="111" bestFit="1" customWidth="1"/>
    <col min="78" max="78" width="12.42578125" style="111" bestFit="1" customWidth="1"/>
    <col min="79" max="79" width="11.7109375" style="111" bestFit="1" customWidth="1"/>
    <col min="80" max="81" width="12.85546875" style="111" bestFit="1" customWidth="1"/>
    <col min="82" max="82" width="12.42578125" style="111" bestFit="1" customWidth="1"/>
    <col min="83" max="84" width="12.85546875" style="111" bestFit="1" customWidth="1"/>
    <col min="85" max="85" width="12.42578125" style="111" bestFit="1" customWidth="1"/>
    <col min="86" max="86" width="12.5703125" style="111" bestFit="1" customWidth="1"/>
    <col min="87" max="87" width="12.7109375" style="111" bestFit="1" customWidth="1"/>
    <col min="88" max="88" width="12.5703125" style="111" bestFit="1" customWidth="1"/>
    <col min="89" max="89" width="13" style="111" bestFit="1" customWidth="1"/>
    <col min="90" max="90" width="12.42578125" style="111" bestFit="1" customWidth="1"/>
    <col min="91" max="91" width="11.7109375" style="111" bestFit="1" customWidth="1"/>
    <col min="92" max="93" width="12.85546875" style="111" bestFit="1" customWidth="1"/>
    <col min="94" max="94" width="12.42578125" style="111" bestFit="1" customWidth="1"/>
    <col min="95" max="96" width="12.85546875" style="111" bestFit="1" customWidth="1"/>
    <col min="97" max="97" width="12.42578125" style="111" bestFit="1" customWidth="1"/>
    <col min="98" max="98" width="12.5703125" style="111" bestFit="1" customWidth="1"/>
    <col min="99" max="99" width="12.7109375" style="111" bestFit="1" customWidth="1"/>
    <col min="100" max="100" width="12.5703125" style="111" bestFit="1" customWidth="1"/>
    <col min="101" max="101" width="13" style="111" bestFit="1" customWidth="1"/>
    <col min="102" max="102" width="12.42578125" style="111" bestFit="1" customWidth="1"/>
    <col min="103" max="103" width="11.7109375" style="111" bestFit="1" customWidth="1"/>
    <col min="104" max="105" width="12.85546875" style="111" bestFit="1" customWidth="1"/>
    <col min="106" max="106" width="12.42578125" style="111" bestFit="1" customWidth="1"/>
    <col min="107" max="108" width="12.85546875" style="111" bestFit="1" customWidth="1"/>
    <col min="109" max="109" width="12.42578125" style="111" bestFit="1" customWidth="1"/>
    <col min="110" max="110" width="12.5703125" style="111" bestFit="1" customWidth="1"/>
    <col min="111" max="111" width="12.7109375" style="111" bestFit="1" customWidth="1"/>
    <col min="112" max="112" width="12.5703125" style="111" bestFit="1" customWidth="1"/>
    <col min="113" max="113" width="13" style="111" bestFit="1" customWidth="1"/>
    <col min="114" max="114" width="12.42578125" style="111" bestFit="1" customWidth="1"/>
    <col min="115" max="115" width="11.7109375" style="111" bestFit="1" customWidth="1"/>
    <col min="116" max="117" width="12.85546875" style="111" bestFit="1" customWidth="1"/>
    <col min="118" max="118" width="12.42578125" style="111" bestFit="1" customWidth="1"/>
    <col min="119" max="120" width="12.85546875" style="111" bestFit="1" customWidth="1"/>
    <col min="121" max="121" width="12.42578125" style="111" bestFit="1" customWidth="1"/>
    <col min="122" max="122" width="12.5703125" style="111" bestFit="1" customWidth="1"/>
    <col min="123" max="123" width="12.7109375" style="111" bestFit="1" customWidth="1"/>
    <col min="124" max="124" width="12.5703125" style="111" bestFit="1" customWidth="1"/>
    <col min="125" max="125" width="13" style="111" bestFit="1" customWidth="1"/>
    <col min="126" max="126" width="12.42578125" style="111" bestFit="1" customWidth="1"/>
    <col min="127" max="127" width="11.7109375" style="111" bestFit="1" customWidth="1"/>
    <col min="128" max="129" width="12.85546875" style="111" bestFit="1" customWidth="1"/>
    <col min="130" max="130" width="12.42578125" style="111" bestFit="1" customWidth="1"/>
    <col min="131" max="132" width="12.85546875" style="111" bestFit="1" customWidth="1"/>
    <col min="133" max="133" width="12.42578125" style="111" bestFit="1" customWidth="1"/>
    <col min="134" max="134" width="12.5703125" style="111" bestFit="1" customWidth="1"/>
    <col min="135" max="135" width="12.7109375" style="111" bestFit="1" customWidth="1"/>
    <col min="136" max="136" width="12.5703125" style="111" bestFit="1" customWidth="1"/>
    <col min="137" max="137" width="13" style="111" bestFit="1" customWidth="1"/>
    <col min="138" max="138" width="12.42578125" style="111" bestFit="1" customWidth="1"/>
    <col min="139" max="139" width="11.7109375" style="111" bestFit="1" customWidth="1"/>
    <col min="140" max="141" width="12.85546875" style="111" bestFit="1" customWidth="1"/>
    <col min="142" max="142" width="12.42578125" style="111" bestFit="1" customWidth="1"/>
    <col min="143" max="144" width="12.85546875" style="111" bestFit="1" customWidth="1"/>
    <col min="145" max="145" width="12.42578125" style="111" bestFit="1" customWidth="1"/>
    <col min="146" max="146" width="12.5703125" style="111" bestFit="1" customWidth="1"/>
    <col min="147" max="147" width="12.7109375" style="111" bestFit="1" customWidth="1"/>
    <col min="148" max="148" width="12.5703125" style="111" bestFit="1" customWidth="1"/>
    <col min="149" max="149" width="13" style="111" bestFit="1" customWidth="1"/>
    <col min="150" max="150" width="12.42578125" style="111" bestFit="1" customWidth="1"/>
    <col min="151" max="151" width="11.7109375" style="111" bestFit="1" customWidth="1"/>
    <col min="152" max="153" width="12.85546875" style="111" bestFit="1" customWidth="1"/>
    <col min="154" max="154" width="12.42578125" style="111" bestFit="1" customWidth="1"/>
    <col min="155" max="156" width="12.85546875" style="111" bestFit="1" customWidth="1"/>
    <col min="157" max="157" width="12.42578125" style="111" bestFit="1" customWidth="1"/>
    <col min="158" max="158" width="12.5703125" style="111" bestFit="1" customWidth="1"/>
    <col min="159" max="159" width="12.7109375" style="111" bestFit="1" customWidth="1"/>
    <col min="160" max="160" width="12.5703125" style="111" bestFit="1" customWidth="1"/>
    <col min="161" max="161" width="13" style="111" bestFit="1" customWidth="1"/>
    <col min="162" max="162" width="12.42578125" style="111" bestFit="1" customWidth="1"/>
    <col min="163" max="163" width="11.7109375" style="111" bestFit="1" customWidth="1"/>
    <col min="164" max="165" width="12.85546875" style="111" bestFit="1" customWidth="1"/>
    <col min="166" max="166" width="12.42578125" style="111" bestFit="1" customWidth="1"/>
    <col min="167" max="168" width="12.85546875" style="111" bestFit="1" customWidth="1"/>
    <col min="169" max="169" width="12.42578125" style="111" bestFit="1" customWidth="1"/>
    <col min="170" max="170" width="12.5703125" style="111" bestFit="1" customWidth="1"/>
    <col min="171" max="171" width="12.7109375" style="111" bestFit="1" customWidth="1"/>
    <col min="172" max="172" width="12.5703125" style="111" bestFit="1" customWidth="1"/>
    <col min="173" max="173" width="13" style="111" bestFit="1" customWidth="1"/>
    <col min="174" max="174" width="12.42578125" style="111" bestFit="1" customWidth="1"/>
    <col min="175" max="175" width="11.7109375" style="111" bestFit="1" customWidth="1"/>
    <col min="176" max="177" width="12.85546875" style="111" bestFit="1" customWidth="1"/>
    <col min="178" max="178" width="12.42578125" style="111" bestFit="1" customWidth="1"/>
    <col min="179" max="180" width="12.85546875" style="111" bestFit="1" customWidth="1"/>
    <col min="181" max="16384" width="9.140625" style="111"/>
  </cols>
  <sheetData>
    <row r="1" spans="1:181">
      <c r="A1" s="109" t="s">
        <v>463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  <c r="CO1" s="109"/>
      <c r="CP1" s="109"/>
      <c r="CQ1" s="109"/>
      <c r="CR1" s="109"/>
      <c r="CS1" s="109"/>
      <c r="CT1" s="109"/>
      <c r="CU1" s="109"/>
      <c r="CV1" s="109"/>
      <c r="CW1" s="109"/>
      <c r="CX1" s="109"/>
      <c r="CY1" s="109"/>
      <c r="CZ1" s="109"/>
      <c r="DA1" s="109"/>
      <c r="DB1" s="109"/>
      <c r="DC1" s="109"/>
      <c r="DD1" s="109"/>
      <c r="DE1" s="109"/>
      <c r="DF1" s="109"/>
      <c r="DG1" s="109"/>
      <c r="DH1" s="109"/>
      <c r="DI1" s="109"/>
      <c r="DJ1" s="109"/>
      <c r="DK1" s="109"/>
      <c r="DL1" s="109"/>
      <c r="DM1" s="109"/>
      <c r="DN1" s="109"/>
      <c r="DO1" s="109"/>
      <c r="DP1" s="109"/>
      <c r="DQ1" s="109"/>
      <c r="DR1" s="109"/>
      <c r="DS1" s="109"/>
      <c r="DT1" s="109"/>
      <c r="DU1" s="109"/>
      <c r="DV1" s="109"/>
      <c r="DW1" s="109"/>
      <c r="DX1" s="109"/>
      <c r="DY1" s="109"/>
      <c r="DZ1" s="109"/>
      <c r="EA1" s="109"/>
      <c r="EB1" s="109"/>
      <c r="EC1" s="109"/>
      <c r="ED1" s="109"/>
      <c r="EE1" s="109"/>
      <c r="EF1" s="109"/>
      <c r="EG1" s="109"/>
      <c r="EH1" s="109"/>
      <c r="EI1" s="109"/>
      <c r="EJ1" s="109"/>
      <c r="EK1" s="109"/>
      <c r="EL1" s="109"/>
      <c r="EM1" s="109"/>
      <c r="EN1" s="109"/>
      <c r="EO1" s="109"/>
      <c r="EP1" s="109"/>
      <c r="EQ1" s="109"/>
      <c r="ER1" s="109"/>
      <c r="ES1" s="109"/>
      <c r="ET1" s="109"/>
      <c r="EU1" s="109"/>
      <c r="EV1" s="109"/>
      <c r="EW1" s="109"/>
      <c r="EX1" s="109"/>
      <c r="EY1" s="109"/>
      <c r="EZ1" s="109"/>
      <c r="FA1" s="109"/>
      <c r="FB1" s="109"/>
      <c r="FC1" s="109"/>
      <c r="FD1" s="109"/>
      <c r="FE1" s="109"/>
      <c r="FF1" s="109"/>
      <c r="FG1" s="109"/>
      <c r="FH1" s="109"/>
      <c r="FI1" s="109"/>
      <c r="FJ1" s="109"/>
      <c r="FK1" s="109"/>
      <c r="FL1" s="109"/>
      <c r="FM1" s="109"/>
      <c r="FN1" s="109"/>
      <c r="FO1" s="109"/>
      <c r="FP1" s="109"/>
      <c r="FQ1" s="109"/>
      <c r="FR1" s="109"/>
      <c r="FS1" s="109"/>
      <c r="FT1" s="109"/>
      <c r="FU1" s="109"/>
      <c r="FV1" s="109"/>
      <c r="FW1" s="109"/>
      <c r="FX1" s="109"/>
    </row>
    <row r="2" spans="1:181">
      <c r="A2" s="112"/>
    </row>
    <row r="3" spans="1:181">
      <c r="A3" s="113"/>
      <c r="B3" s="113" t="s">
        <v>151</v>
      </c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  <c r="BA3" s="113"/>
      <c r="BB3" s="113"/>
      <c r="BC3" s="113"/>
      <c r="BD3" s="113"/>
      <c r="BE3" s="113"/>
      <c r="BF3" s="113"/>
      <c r="BG3" s="113"/>
      <c r="BH3" s="113"/>
      <c r="BI3" s="113"/>
      <c r="BJ3" s="113"/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  <c r="CB3" s="113"/>
      <c r="CC3" s="113"/>
      <c r="CD3" s="113"/>
      <c r="CE3" s="113"/>
      <c r="CF3" s="113"/>
      <c r="CG3" s="113"/>
      <c r="CH3" s="113"/>
      <c r="CI3" s="113"/>
      <c r="CJ3" s="113"/>
      <c r="CK3" s="113"/>
      <c r="CL3" s="113"/>
      <c r="CM3" s="113"/>
      <c r="CN3" s="113"/>
      <c r="CO3" s="113"/>
      <c r="CP3" s="113"/>
      <c r="CQ3" s="113"/>
      <c r="CR3" s="113"/>
      <c r="CS3" s="113"/>
      <c r="CT3" s="113"/>
      <c r="CU3" s="113"/>
      <c r="CV3" s="113"/>
      <c r="CW3" s="113"/>
      <c r="CX3" s="113"/>
      <c r="CY3" s="113"/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3"/>
      <c r="FK3" s="113"/>
      <c r="FL3" s="113"/>
      <c r="FM3" s="113"/>
      <c r="FN3" s="113"/>
      <c r="FO3" s="113"/>
      <c r="FP3" s="113"/>
      <c r="FQ3" s="113"/>
      <c r="FR3" s="113"/>
      <c r="FS3" s="113"/>
      <c r="FT3" s="113"/>
      <c r="FU3" s="113"/>
      <c r="FV3" s="113"/>
      <c r="FW3" s="113"/>
      <c r="FX3" s="113"/>
    </row>
    <row r="4" spans="1:181"/>
    <row r="5" spans="1:181">
      <c r="B5" s="112" t="s">
        <v>326</v>
      </c>
      <c r="J5" s="114">
        <v>38565</v>
      </c>
      <c r="K5" s="114">
        <v>38596</v>
      </c>
      <c r="L5" s="115">
        <v>38626</v>
      </c>
      <c r="M5" s="115">
        <v>38657</v>
      </c>
      <c r="N5" s="115">
        <v>38687</v>
      </c>
      <c r="O5" s="115">
        <v>38718</v>
      </c>
      <c r="P5" s="115">
        <v>38749</v>
      </c>
      <c r="Q5" s="115">
        <v>38777</v>
      </c>
      <c r="R5" s="115">
        <v>38808</v>
      </c>
      <c r="S5" s="115">
        <v>38838</v>
      </c>
      <c r="T5" s="115">
        <v>38869</v>
      </c>
      <c r="U5" s="115">
        <v>38899</v>
      </c>
      <c r="V5" s="115">
        <v>38930</v>
      </c>
      <c r="W5" s="115">
        <v>38961</v>
      </c>
      <c r="X5" s="115">
        <v>38991</v>
      </c>
      <c r="Y5" s="115">
        <v>39022</v>
      </c>
      <c r="Z5" s="115">
        <v>39052</v>
      </c>
      <c r="AA5" s="115">
        <v>39083</v>
      </c>
      <c r="AB5" s="115">
        <v>39114</v>
      </c>
      <c r="AC5" s="115">
        <v>39142</v>
      </c>
      <c r="AD5" s="115">
        <v>39173</v>
      </c>
      <c r="AE5" s="115">
        <v>39203</v>
      </c>
      <c r="AF5" s="115">
        <v>39234</v>
      </c>
      <c r="AG5" s="115">
        <v>39264</v>
      </c>
      <c r="AH5" s="115">
        <v>39295</v>
      </c>
      <c r="AI5" s="115">
        <v>39326</v>
      </c>
      <c r="AJ5" s="115">
        <v>39356</v>
      </c>
      <c r="AK5" s="115">
        <v>39387</v>
      </c>
      <c r="AL5" s="115">
        <v>39417</v>
      </c>
      <c r="AM5" s="115">
        <v>39448</v>
      </c>
      <c r="AN5" s="115">
        <v>39479</v>
      </c>
      <c r="AO5" s="115">
        <v>39508</v>
      </c>
      <c r="AP5" s="115">
        <v>39539</v>
      </c>
      <c r="AQ5" s="115">
        <v>39569</v>
      </c>
      <c r="AR5" s="115">
        <v>39600</v>
      </c>
      <c r="AS5" s="115">
        <v>39630</v>
      </c>
      <c r="AT5" s="115">
        <v>39661</v>
      </c>
      <c r="AU5" s="115">
        <v>39692</v>
      </c>
      <c r="AV5" s="115">
        <v>39722</v>
      </c>
      <c r="AW5" s="115">
        <v>39753</v>
      </c>
      <c r="AX5" s="115">
        <v>39783</v>
      </c>
      <c r="AY5" s="115">
        <v>39814</v>
      </c>
      <c r="AZ5" s="115">
        <v>39845</v>
      </c>
      <c r="BA5" s="115">
        <v>39873</v>
      </c>
      <c r="BB5" s="115">
        <v>39904</v>
      </c>
      <c r="BC5" s="115">
        <v>39934</v>
      </c>
      <c r="BD5" s="115">
        <v>39965</v>
      </c>
      <c r="BE5" s="115">
        <v>39995</v>
      </c>
      <c r="BF5" s="115">
        <v>40026</v>
      </c>
      <c r="BG5" s="115">
        <v>40057</v>
      </c>
      <c r="BH5" s="115">
        <v>40087</v>
      </c>
      <c r="BI5" s="115">
        <v>40118</v>
      </c>
      <c r="BJ5" s="115">
        <v>40148</v>
      </c>
      <c r="BK5" s="115">
        <v>40179</v>
      </c>
      <c r="BL5" s="115">
        <v>40210</v>
      </c>
      <c r="BM5" s="115">
        <v>40238</v>
      </c>
      <c r="BN5" s="115">
        <v>40269</v>
      </c>
      <c r="BO5" s="115">
        <v>40299</v>
      </c>
      <c r="BP5" s="115">
        <v>40330</v>
      </c>
      <c r="BQ5" s="115">
        <v>40360</v>
      </c>
      <c r="BR5" s="115">
        <v>40391</v>
      </c>
      <c r="BS5" s="115">
        <v>40422</v>
      </c>
      <c r="BT5" s="115">
        <v>40452</v>
      </c>
      <c r="BU5" s="115">
        <v>40483</v>
      </c>
      <c r="BV5" s="115">
        <v>40513</v>
      </c>
      <c r="BW5" s="115">
        <v>40544</v>
      </c>
      <c r="BX5" s="115">
        <v>40575</v>
      </c>
      <c r="BY5" s="115">
        <v>40603</v>
      </c>
      <c r="BZ5" s="115">
        <v>40634</v>
      </c>
      <c r="CA5" s="115">
        <v>40664</v>
      </c>
      <c r="CB5" s="115">
        <v>40695</v>
      </c>
      <c r="CC5" s="115">
        <v>40725</v>
      </c>
      <c r="CD5" s="115">
        <v>40756</v>
      </c>
      <c r="CE5" s="115">
        <v>40787</v>
      </c>
      <c r="CF5" s="115">
        <v>40817</v>
      </c>
      <c r="CG5" s="115">
        <v>40848</v>
      </c>
      <c r="CH5" s="115">
        <v>40878</v>
      </c>
      <c r="CI5" s="115">
        <v>40909</v>
      </c>
      <c r="CJ5" s="115">
        <v>40940</v>
      </c>
      <c r="CK5" s="115">
        <v>40969</v>
      </c>
      <c r="CL5" s="115">
        <v>41000</v>
      </c>
      <c r="CM5" s="115">
        <v>41030</v>
      </c>
      <c r="CN5" s="115">
        <v>41061</v>
      </c>
      <c r="CO5" s="115">
        <v>41091</v>
      </c>
      <c r="CP5" s="115">
        <v>41122</v>
      </c>
      <c r="CQ5" s="115">
        <v>41153</v>
      </c>
      <c r="CR5" s="115">
        <v>41183</v>
      </c>
      <c r="CS5" s="115">
        <v>41214</v>
      </c>
      <c r="CT5" s="115">
        <v>41244</v>
      </c>
      <c r="CU5" s="115">
        <v>41275</v>
      </c>
      <c r="CV5" s="115">
        <v>41306</v>
      </c>
      <c r="CW5" s="115">
        <v>41334</v>
      </c>
      <c r="CX5" s="115">
        <v>41365</v>
      </c>
      <c r="CY5" s="115">
        <v>41395</v>
      </c>
      <c r="CZ5" s="115">
        <v>41426</v>
      </c>
      <c r="DA5" s="115">
        <v>41456</v>
      </c>
      <c r="DB5" s="115">
        <v>41487</v>
      </c>
      <c r="DC5" s="115">
        <v>41518</v>
      </c>
      <c r="DD5" s="115">
        <v>41548</v>
      </c>
      <c r="DE5" s="115">
        <v>41579</v>
      </c>
      <c r="DF5" s="115">
        <v>41609</v>
      </c>
      <c r="DG5" s="115">
        <v>41640</v>
      </c>
      <c r="DH5" s="115">
        <v>41671</v>
      </c>
      <c r="DI5" s="115">
        <v>41699</v>
      </c>
      <c r="DJ5" s="115">
        <v>41730</v>
      </c>
      <c r="DK5" s="115">
        <v>41760</v>
      </c>
      <c r="DL5" s="115">
        <v>41791</v>
      </c>
      <c r="DM5" s="115">
        <v>41821</v>
      </c>
      <c r="DN5" s="115">
        <v>41852</v>
      </c>
      <c r="DO5" s="115">
        <v>41883</v>
      </c>
      <c r="DP5" s="115">
        <v>41913</v>
      </c>
      <c r="DQ5" s="115">
        <v>41944</v>
      </c>
      <c r="DR5" s="115">
        <v>41974</v>
      </c>
      <c r="DS5" s="115">
        <v>42005</v>
      </c>
      <c r="DT5" s="115">
        <v>42036</v>
      </c>
      <c r="DU5" s="115">
        <v>42064</v>
      </c>
      <c r="DV5" s="115">
        <v>42095</v>
      </c>
      <c r="DW5" s="115">
        <v>42125</v>
      </c>
      <c r="DX5" s="115">
        <v>42156</v>
      </c>
      <c r="DY5" s="115">
        <v>42186</v>
      </c>
      <c r="DZ5" s="115">
        <v>42217</v>
      </c>
      <c r="EA5" s="115">
        <v>42248</v>
      </c>
      <c r="EB5" s="115">
        <v>42278</v>
      </c>
      <c r="EC5" s="115">
        <v>42309</v>
      </c>
      <c r="ED5" s="115">
        <v>42339</v>
      </c>
      <c r="EE5" s="115">
        <v>42370</v>
      </c>
      <c r="EF5" s="115">
        <v>42401</v>
      </c>
      <c r="EG5" s="115">
        <v>42430</v>
      </c>
      <c r="EH5" s="115">
        <v>42461</v>
      </c>
      <c r="EI5" s="115">
        <v>42491</v>
      </c>
      <c r="EJ5" s="115">
        <v>42522</v>
      </c>
      <c r="EK5" s="115">
        <v>42552</v>
      </c>
      <c r="EL5" s="115">
        <v>42583</v>
      </c>
      <c r="EM5" s="115">
        <v>42614</v>
      </c>
      <c r="EN5" s="115">
        <v>42644</v>
      </c>
      <c r="EO5" s="115">
        <v>42675</v>
      </c>
      <c r="EP5" s="115">
        <v>42705</v>
      </c>
      <c r="EQ5" s="115">
        <v>42736</v>
      </c>
      <c r="ER5" s="115">
        <v>42767</v>
      </c>
      <c r="ES5" s="115">
        <v>42795</v>
      </c>
      <c r="ET5" s="115">
        <v>42826</v>
      </c>
      <c r="EU5" s="115">
        <v>42856</v>
      </c>
      <c r="EV5" s="115">
        <v>42887</v>
      </c>
      <c r="EW5" s="115">
        <v>42917</v>
      </c>
      <c r="EX5" s="115">
        <v>42948</v>
      </c>
      <c r="EY5" s="115">
        <v>42979</v>
      </c>
      <c r="EZ5" s="115">
        <v>43009</v>
      </c>
      <c r="FA5" s="115">
        <v>43040</v>
      </c>
      <c r="FB5" s="115">
        <v>43070</v>
      </c>
      <c r="FC5" s="115">
        <v>43101</v>
      </c>
      <c r="FD5" s="115">
        <v>43132</v>
      </c>
      <c r="FE5" s="115">
        <v>43160</v>
      </c>
      <c r="FF5" s="115">
        <v>43191</v>
      </c>
      <c r="FG5" s="115">
        <v>43221</v>
      </c>
      <c r="FH5" s="115">
        <v>43252</v>
      </c>
      <c r="FI5" s="115">
        <v>43282</v>
      </c>
      <c r="FJ5" s="115">
        <v>43313</v>
      </c>
      <c r="FK5" s="115">
        <v>43344</v>
      </c>
      <c r="FL5" s="115">
        <v>43374</v>
      </c>
      <c r="FM5" s="115">
        <v>43405</v>
      </c>
      <c r="FN5" s="115">
        <v>43435</v>
      </c>
      <c r="FO5" s="115">
        <v>43466</v>
      </c>
      <c r="FP5" s="115">
        <v>43497</v>
      </c>
      <c r="FQ5" s="115">
        <v>43525</v>
      </c>
      <c r="FR5" s="115">
        <v>43556</v>
      </c>
      <c r="FS5" s="115">
        <v>43586</v>
      </c>
      <c r="FT5" s="115">
        <v>43617</v>
      </c>
      <c r="FU5" s="115">
        <v>43647</v>
      </c>
      <c r="FV5" s="115">
        <v>43678</v>
      </c>
      <c r="FW5" s="115">
        <v>43709</v>
      </c>
      <c r="FX5" s="115">
        <v>43739</v>
      </c>
      <c r="FY5" s="110" t="s">
        <v>327</v>
      </c>
    </row>
    <row r="6" spans="1:181">
      <c r="B6" s="112" t="s">
        <v>328</v>
      </c>
      <c r="J6" s="114">
        <v>38595</v>
      </c>
      <c r="K6" s="115">
        <v>38625</v>
      </c>
      <c r="L6" s="115">
        <v>38656</v>
      </c>
      <c r="M6" s="115">
        <v>38686</v>
      </c>
      <c r="N6" s="115">
        <v>38717</v>
      </c>
      <c r="O6" s="115">
        <v>38748</v>
      </c>
      <c r="P6" s="115">
        <v>38776</v>
      </c>
      <c r="Q6" s="115">
        <v>38807</v>
      </c>
      <c r="R6" s="115">
        <v>38837</v>
      </c>
      <c r="S6" s="115">
        <v>38868</v>
      </c>
      <c r="T6" s="115">
        <v>38898</v>
      </c>
      <c r="U6" s="115">
        <v>38929</v>
      </c>
      <c r="V6" s="115">
        <v>38960</v>
      </c>
      <c r="W6" s="115">
        <v>38990</v>
      </c>
      <c r="X6" s="115">
        <v>39021</v>
      </c>
      <c r="Y6" s="115">
        <v>39051</v>
      </c>
      <c r="Z6" s="115">
        <v>39082</v>
      </c>
      <c r="AA6" s="115">
        <v>39113</v>
      </c>
      <c r="AB6" s="115">
        <v>39141</v>
      </c>
      <c r="AC6" s="115">
        <v>39172</v>
      </c>
      <c r="AD6" s="115">
        <v>39202</v>
      </c>
      <c r="AE6" s="115">
        <v>39233</v>
      </c>
      <c r="AF6" s="115">
        <v>39263</v>
      </c>
      <c r="AG6" s="115">
        <v>39294</v>
      </c>
      <c r="AH6" s="115">
        <v>39325</v>
      </c>
      <c r="AI6" s="115">
        <v>39355</v>
      </c>
      <c r="AJ6" s="115">
        <v>39386</v>
      </c>
      <c r="AK6" s="115">
        <v>39416</v>
      </c>
      <c r="AL6" s="115">
        <v>39447</v>
      </c>
      <c r="AM6" s="115">
        <v>39478</v>
      </c>
      <c r="AN6" s="115">
        <v>39507</v>
      </c>
      <c r="AO6" s="115">
        <v>39538</v>
      </c>
      <c r="AP6" s="115">
        <v>39568</v>
      </c>
      <c r="AQ6" s="115">
        <v>39599</v>
      </c>
      <c r="AR6" s="115">
        <v>39629</v>
      </c>
      <c r="AS6" s="115">
        <v>39660</v>
      </c>
      <c r="AT6" s="115">
        <v>39691</v>
      </c>
      <c r="AU6" s="115">
        <v>39721</v>
      </c>
      <c r="AV6" s="115">
        <v>39752</v>
      </c>
      <c r="AW6" s="115">
        <v>39782</v>
      </c>
      <c r="AX6" s="115">
        <v>39813</v>
      </c>
      <c r="AY6" s="115">
        <v>39844</v>
      </c>
      <c r="AZ6" s="115">
        <v>39872</v>
      </c>
      <c r="BA6" s="115">
        <v>39903</v>
      </c>
      <c r="BB6" s="115">
        <v>39933</v>
      </c>
      <c r="BC6" s="115">
        <v>39964</v>
      </c>
      <c r="BD6" s="115">
        <v>39994</v>
      </c>
      <c r="BE6" s="115">
        <v>40025</v>
      </c>
      <c r="BF6" s="115">
        <v>40056</v>
      </c>
      <c r="BG6" s="115">
        <v>40086</v>
      </c>
      <c r="BH6" s="115">
        <v>40117</v>
      </c>
      <c r="BI6" s="115">
        <v>40147</v>
      </c>
      <c r="BJ6" s="115">
        <v>40178</v>
      </c>
      <c r="BK6" s="115">
        <v>40209</v>
      </c>
      <c r="BL6" s="115">
        <v>40237</v>
      </c>
      <c r="BM6" s="115">
        <v>40268</v>
      </c>
      <c r="BN6" s="115">
        <v>40298</v>
      </c>
      <c r="BO6" s="115">
        <v>40329</v>
      </c>
      <c r="BP6" s="115">
        <v>40359</v>
      </c>
      <c r="BQ6" s="115">
        <v>40390</v>
      </c>
      <c r="BR6" s="115">
        <v>40421</v>
      </c>
      <c r="BS6" s="115">
        <v>40451</v>
      </c>
      <c r="BT6" s="115">
        <v>40482</v>
      </c>
      <c r="BU6" s="115">
        <v>40512</v>
      </c>
      <c r="BV6" s="115">
        <v>40543</v>
      </c>
      <c r="BW6" s="115">
        <v>40574</v>
      </c>
      <c r="BX6" s="115">
        <v>40602</v>
      </c>
      <c r="BY6" s="115">
        <v>40633</v>
      </c>
      <c r="BZ6" s="115">
        <v>40663</v>
      </c>
      <c r="CA6" s="115">
        <v>40694</v>
      </c>
      <c r="CB6" s="115">
        <v>40724</v>
      </c>
      <c r="CC6" s="115">
        <v>40755</v>
      </c>
      <c r="CD6" s="115">
        <v>40786</v>
      </c>
      <c r="CE6" s="115">
        <v>40816</v>
      </c>
      <c r="CF6" s="115">
        <v>40847</v>
      </c>
      <c r="CG6" s="115">
        <v>40877</v>
      </c>
      <c r="CH6" s="115">
        <v>40908</v>
      </c>
      <c r="CI6" s="115">
        <v>40939</v>
      </c>
      <c r="CJ6" s="115">
        <v>40968</v>
      </c>
      <c r="CK6" s="115">
        <v>40999</v>
      </c>
      <c r="CL6" s="115">
        <v>41029</v>
      </c>
      <c r="CM6" s="115">
        <v>41060</v>
      </c>
      <c r="CN6" s="115">
        <v>41090</v>
      </c>
      <c r="CO6" s="115">
        <v>41121</v>
      </c>
      <c r="CP6" s="115">
        <v>41152</v>
      </c>
      <c r="CQ6" s="115">
        <v>41182</v>
      </c>
      <c r="CR6" s="115">
        <v>41213</v>
      </c>
      <c r="CS6" s="115">
        <v>41243</v>
      </c>
      <c r="CT6" s="115">
        <v>41274</v>
      </c>
      <c r="CU6" s="115">
        <v>41305</v>
      </c>
      <c r="CV6" s="115">
        <v>41333</v>
      </c>
      <c r="CW6" s="115">
        <v>41364</v>
      </c>
      <c r="CX6" s="115">
        <v>41394</v>
      </c>
      <c r="CY6" s="115">
        <v>41425</v>
      </c>
      <c r="CZ6" s="115">
        <v>41455</v>
      </c>
      <c r="DA6" s="115">
        <v>41486</v>
      </c>
      <c r="DB6" s="115">
        <v>41517</v>
      </c>
      <c r="DC6" s="115">
        <v>41547</v>
      </c>
      <c r="DD6" s="115">
        <v>41578</v>
      </c>
      <c r="DE6" s="115">
        <v>41608</v>
      </c>
      <c r="DF6" s="115">
        <v>41639</v>
      </c>
      <c r="DG6" s="115">
        <v>41670</v>
      </c>
      <c r="DH6" s="115">
        <v>41698</v>
      </c>
      <c r="DI6" s="115">
        <v>41729</v>
      </c>
      <c r="DJ6" s="115">
        <v>41759</v>
      </c>
      <c r="DK6" s="115">
        <v>41790</v>
      </c>
      <c r="DL6" s="115">
        <v>41820</v>
      </c>
      <c r="DM6" s="115">
        <v>41851</v>
      </c>
      <c r="DN6" s="115">
        <v>41882</v>
      </c>
      <c r="DO6" s="115">
        <v>41912</v>
      </c>
      <c r="DP6" s="115">
        <v>41943</v>
      </c>
      <c r="DQ6" s="115">
        <v>41973</v>
      </c>
      <c r="DR6" s="115">
        <v>42004</v>
      </c>
      <c r="DS6" s="115">
        <v>42035</v>
      </c>
      <c r="DT6" s="115">
        <v>42063</v>
      </c>
      <c r="DU6" s="115">
        <v>42094</v>
      </c>
      <c r="DV6" s="115">
        <v>42124</v>
      </c>
      <c r="DW6" s="115">
        <v>42155</v>
      </c>
      <c r="DX6" s="115">
        <v>42185</v>
      </c>
      <c r="DY6" s="115">
        <v>42216</v>
      </c>
      <c r="DZ6" s="115">
        <v>42247</v>
      </c>
      <c r="EA6" s="115">
        <v>42277</v>
      </c>
      <c r="EB6" s="115">
        <v>42308</v>
      </c>
      <c r="EC6" s="115">
        <v>42338</v>
      </c>
      <c r="ED6" s="115">
        <v>42369</v>
      </c>
      <c r="EE6" s="115">
        <v>42400</v>
      </c>
      <c r="EF6" s="115">
        <v>42429</v>
      </c>
      <c r="EG6" s="115">
        <v>42460</v>
      </c>
      <c r="EH6" s="115">
        <v>42490</v>
      </c>
      <c r="EI6" s="115">
        <v>42521</v>
      </c>
      <c r="EJ6" s="115">
        <v>42551</v>
      </c>
      <c r="EK6" s="115">
        <v>42582</v>
      </c>
      <c r="EL6" s="115">
        <v>42613</v>
      </c>
      <c r="EM6" s="115">
        <v>42643</v>
      </c>
      <c r="EN6" s="115">
        <v>42674</v>
      </c>
      <c r="EO6" s="115">
        <v>42704</v>
      </c>
      <c r="EP6" s="115">
        <v>42735</v>
      </c>
      <c r="EQ6" s="115">
        <v>42766</v>
      </c>
      <c r="ER6" s="115">
        <v>42794</v>
      </c>
      <c r="ES6" s="115">
        <v>42825</v>
      </c>
      <c r="ET6" s="115">
        <v>42855</v>
      </c>
      <c r="EU6" s="115">
        <v>42886</v>
      </c>
      <c r="EV6" s="115">
        <v>42916</v>
      </c>
      <c r="EW6" s="115">
        <v>42947</v>
      </c>
      <c r="EX6" s="115">
        <v>42978</v>
      </c>
      <c r="EY6" s="115">
        <v>43008</v>
      </c>
      <c r="EZ6" s="115">
        <v>43039</v>
      </c>
      <c r="FA6" s="115">
        <v>43069</v>
      </c>
      <c r="FB6" s="115">
        <v>43100</v>
      </c>
      <c r="FC6" s="115">
        <v>43131</v>
      </c>
      <c r="FD6" s="115">
        <v>43159</v>
      </c>
      <c r="FE6" s="115">
        <v>43190</v>
      </c>
      <c r="FF6" s="115">
        <v>43220</v>
      </c>
      <c r="FG6" s="115">
        <v>43251</v>
      </c>
      <c r="FH6" s="115">
        <v>43281</v>
      </c>
      <c r="FI6" s="115">
        <v>43312</v>
      </c>
      <c r="FJ6" s="115">
        <v>43343</v>
      </c>
      <c r="FK6" s="115">
        <v>43373</v>
      </c>
      <c r="FL6" s="115">
        <v>43404</v>
      </c>
      <c r="FM6" s="115">
        <v>43434</v>
      </c>
      <c r="FN6" s="115">
        <v>43465</v>
      </c>
      <c r="FO6" s="115">
        <v>43496</v>
      </c>
      <c r="FP6" s="115">
        <v>43524</v>
      </c>
      <c r="FQ6" s="115">
        <v>43555</v>
      </c>
      <c r="FR6" s="115">
        <v>43585</v>
      </c>
      <c r="FS6" s="115">
        <v>43616</v>
      </c>
      <c r="FT6" s="115">
        <v>43646</v>
      </c>
      <c r="FU6" s="115">
        <v>43677</v>
      </c>
      <c r="FV6" s="115">
        <v>43708</v>
      </c>
      <c r="FW6" s="115">
        <v>43738</v>
      </c>
      <c r="FX6" s="115">
        <v>43769</v>
      </c>
      <c r="FY6" s="110" t="s">
        <v>329</v>
      </c>
    </row>
    <row r="7" spans="1:181">
      <c r="B7" s="112" t="s">
        <v>330</v>
      </c>
      <c r="J7" s="116">
        <v>1</v>
      </c>
      <c r="K7" s="117">
        <v>2</v>
      </c>
      <c r="L7" s="117">
        <v>3</v>
      </c>
      <c r="M7" s="117">
        <v>4</v>
      </c>
      <c r="N7" s="117">
        <v>5</v>
      </c>
      <c r="O7" s="117">
        <v>6</v>
      </c>
      <c r="P7" s="117">
        <v>7</v>
      </c>
      <c r="Q7" s="117">
        <v>8</v>
      </c>
      <c r="R7" s="117">
        <v>9</v>
      </c>
      <c r="S7" s="117">
        <v>10</v>
      </c>
      <c r="T7" s="117">
        <v>11</v>
      </c>
      <c r="U7" s="117">
        <v>12</v>
      </c>
      <c r="V7" s="117">
        <v>13</v>
      </c>
      <c r="W7" s="117">
        <v>14</v>
      </c>
      <c r="X7" s="117">
        <v>15</v>
      </c>
      <c r="Y7" s="117">
        <v>16</v>
      </c>
      <c r="Z7" s="117">
        <v>17</v>
      </c>
      <c r="AA7" s="117">
        <v>18</v>
      </c>
      <c r="AB7" s="117">
        <v>19</v>
      </c>
      <c r="AC7" s="117">
        <v>20</v>
      </c>
      <c r="AD7" s="117">
        <v>21</v>
      </c>
      <c r="AE7" s="117">
        <v>22</v>
      </c>
      <c r="AF7" s="117">
        <v>23</v>
      </c>
      <c r="AG7" s="117">
        <v>24</v>
      </c>
      <c r="AH7" s="117">
        <v>25</v>
      </c>
      <c r="AI7" s="117">
        <v>26</v>
      </c>
      <c r="AJ7" s="117">
        <v>27</v>
      </c>
      <c r="AK7" s="117">
        <v>28</v>
      </c>
      <c r="AL7" s="117">
        <v>29</v>
      </c>
      <c r="AM7" s="117">
        <v>30</v>
      </c>
      <c r="AN7" s="117">
        <v>31</v>
      </c>
      <c r="AO7" s="117">
        <v>32</v>
      </c>
      <c r="AP7" s="117">
        <v>33</v>
      </c>
      <c r="AQ7" s="117">
        <v>34</v>
      </c>
      <c r="AR7" s="117">
        <v>35</v>
      </c>
      <c r="AS7" s="117">
        <v>36</v>
      </c>
      <c r="AT7" s="117">
        <v>37</v>
      </c>
      <c r="AU7" s="117">
        <v>38</v>
      </c>
      <c r="AV7" s="117">
        <v>39</v>
      </c>
      <c r="AW7" s="117">
        <v>40</v>
      </c>
      <c r="AX7" s="117">
        <v>41</v>
      </c>
      <c r="AY7" s="117">
        <v>42</v>
      </c>
      <c r="AZ7" s="117">
        <v>43</v>
      </c>
      <c r="BA7" s="117">
        <v>44</v>
      </c>
      <c r="BB7" s="117">
        <v>45</v>
      </c>
      <c r="BC7" s="117">
        <v>46</v>
      </c>
      <c r="BD7" s="117">
        <v>47</v>
      </c>
      <c r="BE7" s="117">
        <v>48</v>
      </c>
      <c r="BF7" s="117">
        <v>49</v>
      </c>
      <c r="BG7" s="117">
        <v>50</v>
      </c>
      <c r="BH7" s="117">
        <v>51</v>
      </c>
      <c r="BI7" s="117">
        <v>52</v>
      </c>
      <c r="BJ7" s="117">
        <v>53</v>
      </c>
      <c r="BK7" s="117">
        <v>54</v>
      </c>
      <c r="BL7" s="117">
        <v>55</v>
      </c>
      <c r="BM7" s="117">
        <v>56</v>
      </c>
      <c r="BN7" s="117">
        <v>57</v>
      </c>
      <c r="BO7" s="117">
        <v>58</v>
      </c>
      <c r="BP7" s="117">
        <v>59</v>
      </c>
      <c r="BQ7" s="117">
        <v>60</v>
      </c>
      <c r="BR7" s="117">
        <v>61</v>
      </c>
      <c r="BS7" s="117">
        <v>62</v>
      </c>
      <c r="BT7" s="117">
        <v>63</v>
      </c>
      <c r="BU7" s="117">
        <v>64</v>
      </c>
      <c r="BV7" s="117">
        <v>65</v>
      </c>
      <c r="BW7" s="117">
        <v>66</v>
      </c>
      <c r="BX7" s="117">
        <v>67</v>
      </c>
      <c r="BY7" s="117">
        <v>68</v>
      </c>
      <c r="BZ7" s="117">
        <v>69</v>
      </c>
      <c r="CA7" s="117">
        <v>70</v>
      </c>
      <c r="CB7" s="117">
        <v>71</v>
      </c>
      <c r="CC7" s="117">
        <v>72</v>
      </c>
      <c r="CD7" s="117">
        <v>73</v>
      </c>
      <c r="CE7" s="117">
        <v>74</v>
      </c>
      <c r="CF7" s="117">
        <v>75</v>
      </c>
      <c r="CG7" s="117">
        <v>76</v>
      </c>
      <c r="CH7" s="117">
        <v>77</v>
      </c>
      <c r="CI7" s="117">
        <v>78</v>
      </c>
      <c r="CJ7" s="117">
        <v>79</v>
      </c>
      <c r="CK7" s="117">
        <v>80</v>
      </c>
      <c r="CL7" s="117">
        <v>81</v>
      </c>
      <c r="CM7" s="117">
        <v>82</v>
      </c>
      <c r="CN7" s="117">
        <v>83</v>
      </c>
      <c r="CO7" s="117">
        <v>84</v>
      </c>
      <c r="CP7" s="117">
        <v>85</v>
      </c>
      <c r="CQ7" s="117">
        <v>86</v>
      </c>
      <c r="CR7" s="117">
        <v>87</v>
      </c>
      <c r="CS7" s="117">
        <v>88</v>
      </c>
      <c r="CT7" s="117">
        <v>89</v>
      </c>
      <c r="CU7" s="117">
        <v>90</v>
      </c>
      <c r="CV7" s="117">
        <v>91</v>
      </c>
      <c r="CW7" s="117">
        <v>92</v>
      </c>
      <c r="CX7" s="117">
        <v>93</v>
      </c>
      <c r="CY7" s="117">
        <v>94</v>
      </c>
      <c r="CZ7" s="117">
        <v>95</v>
      </c>
      <c r="DA7" s="117">
        <v>96</v>
      </c>
      <c r="DB7" s="117">
        <v>97</v>
      </c>
      <c r="DC7" s="117">
        <v>98</v>
      </c>
      <c r="DD7" s="117">
        <v>99</v>
      </c>
      <c r="DE7" s="117">
        <v>100</v>
      </c>
      <c r="DF7" s="117">
        <v>101</v>
      </c>
      <c r="DG7" s="117">
        <v>102</v>
      </c>
      <c r="DH7" s="117">
        <v>103</v>
      </c>
      <c r="DI7" s="117">
        <v>104</v>
      </c>
      <c r="DJ7" s="117">
        <v>105</v>
      </c>
      <c r="DK7" s="117">
        <v>106</v>
      </c>
      <c r="DL7" s="117">
        <v>107</v>
      </c>
      <c r="DM7" s="117">
        <v>108</v>
      </c>
      <c r="DN7" s="117">
        <v>109</v>
      </c>
      <c r="DO7" s="117">
        <v>110</v>
      </c>
      <c r="DP7" s="117">
        <v>111</v>
      </c>
      <c r="DQ7" s="117">
        <v>112</v>
      </c>
      <c r="DR7" s="117">
        <v>113</v>
      </c>
      <c r="DS7" s="117">
        <v>114</v>
      </c>
      <c r="DT7" s="117">
        <v>115</v>
      </c>
      <c r="DU7" s="117">
        <v>116</v>
      </c>
      <c r="DV7" s="117">
        <v>117</v>
      </c>
      <c r="DW7" s="117">
        <v>118</v>
      </c>
      <c r="DX7" s="117">
        <v>119</v>
      </c>
      <c r="DY7" s="117">
        <v>120</v>
      </c>
      <c r="DZ7" s="117">
        <v>121</v>
      </c>
      <c r="EA7" s="117">
        <v>122</v>
      </c>
      <c r="EB7" s="117">
        <v>123</v>
      </c>
      <c r="EC7" s="117">
        <v>124</v>
      </c>
      <c r="ED7" s="117">
        <v>125</v>
      </c>
      <c r="EE7" s="117">
        <v>126</v>
      </c>
      <c r="EF7" s="117">
        <v>127</v>
      </c>
      <c r="EG7" s="117">
        <v>128</v>
      </c>
      <c r="EH7" s="117">
        <v>129</v>
      </c>
      <c r="EI7" s="117">
        <v>130</v>
      </c>
      <c r="EJ7" s="117">
        <v>131</v>
      </c>
      <c r="EK7" s="117">
        <v>132</v>
      </c>
      <c r="EL7" s="117">
        <v>133</v>
      </c>
      <c r="EM7" s="117">
        <v>134</v>
      </c>
      <c r="EN7" s="117">
        <v>135</v>
      </c>
      <c r="EO7" s="117">
        <v>136</v>
      </c>
      <c r="EP7" s="117">
        <v>137</v>
      </c>
      <c r="EQ7" s="117">
        <v>138</v>
      </c>
      <c r="ER7" s="117">
        <v>139</v>
      </c>
      <c r="ES7" s="117">
        <v>140</v>
      </c>
      <c r="ET7" s="117">
        <v>141</v>
      </c>
      <c r="EU7" s="117">
        <v>142</v>
      </c>
      <c r="EV7" s="117">
        <v>143</v>
      </c>
      <c r="EW7" s="117">
        <v>144</v>
      </c>
      <c r="EX7" s="117">
        <v>145</v>
      </c>
      <c r="EY7" s="117">
        <v>146</v>
      </c>
      <c r="EZ7" s="117">
        <v>147</v>
      </c>
      <c r="FA7" s="117">
        <v>148</v>
      </c>
      <c r="FB7" s="117">
        <v>149</v>
      </c>
      <c r="FC7" s="117">
        <v>150</v>
      </c>
      <c r="FD7" s="117">
        <v>151</v>
      </c>
      <c r="FE7" s="117">
        <v>152</v>
      </c>
      <c r="FF7" s="117">
        <v>153</v>
      </c>
      <c r="FG7" s="117">
        <v>154</v>
      </c>
      <c r="FH7" s="117">
        <v>155</v>
      </c>
      <c r="FI7" s="117">
        <v>156</v>
      </c>
      <c r="FJ7" s="117">
        <v>157</v>
      </c>
      <c r="FK7" s="117">
        <v>158</v>
      </c>
      <c r="FL7" s="117">
        <v>159</v>
      </c>
      <c r="FM7" s="117">
        <v>160</v>
      </c>
      <c r="FN7" s="117">
        <v>161</v>
      </c>
      <c r="FO7" s="117">
        <v>162</v>
      </c>
      <c r="FP7" s="117">
        <v>163</v>
      </c>
      <c r="FQ7" s="117">
        <v>164</v>
      </c>
      <c r="FR7" s="117">
        <v>165</v>
      </c>
      <c r="FS7" s="117">
        <v>166</v>
      </c>
      <c r="FT7" s="117">
        <v>167</v>
      </c>
      <c r="FU7" s="117">
        <v>168</v>
      </c>
      <c r="FV7" s="117">
        <v>169</v>
      </c>
      <c r="FW7" s="117">
        <v>170</v>
      </c>
      <c r="FX7" s="117">
        <v>171</v>
      </c>
    </row>
    <row r="8" spans="1:181">
      <c r="B8" s="112" t="s">
        <v>331</v>
      </c>
      <c r="J8" s="118">
        <v>-5</v>
      </c>
      <c r="K8" s="119">
        <v>-4</v>
      </c>
      <c r="L8" s="119">
        <v>-3</v>
      </c>
      <c r="M8" s="119">
        <v>-2</v>
      </c>
      <c r="N8" s="119">
        <v>-1</v>
      </c>
      <c r="O8" s="119">
        <v>1</v>
      </c>
      <c r="P8" s="119">
        <v>2</v>
      </c>
      <c r="Q8" s="119">
        <v>3</v>
      </c>
      <c r="R8" s="119">
        <v>4</v>
      </c>
      <c r="S8" s="119">
        <v>5</v>
      </c>
      <c r="T8" s="119">
        <v>6</v>
      </c>
      <c r="U8" s="119">
        <v>7</v>
      </c>
      <c r="V8" s="119">
        <v>8</v>
      </c>
      <c r="W8" s="119">
        <v>9</v>
      </c>
      <c r="X8" s="119">
        <v>10</v>
      </c>
      <c r="Y8" s="119">
        <v>11</v>
      </c>
      <c r="Z8" s="119">
        <v>12</v>
      </c>
      <c r="AA8" s="119">
        <v>13</v>
      </c>
      <c r="AB8" s="119">
        <v>14</v>
      </c>
      <c r="AC8" s="119">
        <v>15</v>
      </c>
      <c r="AD8" s="119">
        <v>16</v>
      </c>
      <c r="AE8" s="119">
        <v>17</v>
      </c>
      <c r="AF8" s="119">
        <v>18</v>
      </c>
      <c r="AG8" s="119">
        <v>19</v>
      </c>
      <c r="AH8" s="119">
        <v>20</v>
      </c>
      <c r="AI8" s="119">
        <v>21</v>
      </c>
      <c r="AJ8" s="119">
        <v>22</v>
      </c>
      <c r="AK8" s="119">
        <v>23</v>
      </c>
      <c r="AL8" s="119">
        <v>24</v>
      </c>
      <c r="AM8" s="119">
        <v>25</v>
      </c>
      <c r="AN8" s="119">
        <v>26</v>
      </c>
      <c r="AO8" s="119">
        <v>27</v>
      </c>
      <c r="AP8" s="119">
        <v>28</v>
      </c>
      <c r="AQ8" s="119">
        <v>29</v>
      </c>
      <c r="AR8" s="119">
        <v>30</v>
      </c>
      <c r="AS8" s="119">
        <v>31</v>
      </c>
      <c r="AT8" s="119">
        <v>32</v>
      </c>
      <c r="AU8" s="119">
        <v>33</v>
      </c>
      <c r="AV8" s="119">
        <v>34</v>
      </c>
      <c r="AW8" s="119">
        <v>35</v>
      </c>
      <c r="AX8" s="119">
        <v>36</v>
      </c>
      <c r="AY8" s="119">
        <v>37</v>
      </c>
      <c r="AZ8" s="119">
        <v>38</v>
      </c>
      <c r="BA8" s="119">
        <v>39</v>
      </c>
      <c r="BB8" s="119">
        <v>40</v>
      </c>
      <c r="BC8" s="119">
        <v>41</v>
      </c>
      <c r="BD8" s="119">
        <v>42</v>
      </c>
      <c r="BE8" s="119">
        <v>43</v>
      </c>
      <c r="BF8" s="119">
        <v>44</v>
      </c>
      <c r="BG8" s="119">
        <v>45</v>
      </c>
      <c r="BH8" s="119">
        <v>46</v>
      </c>
      <c r="BI8" s="119">
        <v>47</v>
      </c>
      <c r="BJ8" s="119">
        <v>48</v>
      </c>
      <c r="BK8" s="119">
        <v>49</v>
      </c>
      <c r="BL8" s="119">
        <v>50</v>
      </c>
      <c r="BM8" s="119">
        <v>51</v>
      </c>
      <c r="BN8" s="119">
        <v>52</v>
      </c>
      <c r="BO8" s="119">
        <v>53</v>
      </c>
      <c r="BP8" s="119">
        <v>54</v>
      </c>
      <c r="BQ8" s="119">
        <v>55</v>
      </c>
      <c r="BR8" s="119">
        <v>56</v>
      </c>
      <c r="BS8" s="119">
        <v>57</v>
      </c>
      <c r="BT8" s="119">
        <v>58</v>
      </c>
      <c r="BU8" s="119">
        <v>59</v>
      </c>
      <c r="BV8" s="119">
        <v>60</v>
      </c>
      <c r="BW8" s="119">
        <v>61</v>
      </c>
      <c r="BX8" s="119">
        <v>62</v>
      </c>
      <c r="BY8" s="119">
        <v>63</v>
      </c>
      <c r="BZ8" s="119">
        <v>64</v>
      </c>
      <c r="CA8" s="119">
        <v>65</v>
      </c>
      <c r="CB8" s="119">
        <v>66</v>
      </c>
      <c r="CC8" s="119">
        <v>67</v>
      </c>
      <c r="CD8" s="119">
        <v>68</v>
      </c>
      <c r="CE8" s="119">
        <v>69</v>
      </c>
      <c r="CF8" s="119">
        <v>70</v>
      </c>
      <c r="CG8" s="119">
        <v>71</v>
      </c>
      <c r="CH8" s="119">
        <v>72</v>
      </c>
      <c r="CI8" s="119">
        <v>73</v>
      </c>
      <c r="CJ8" s="119">
        <v>74</v>
      </c>
      <c r="CK8" s="119">
        <v>75</v>
      </c>
      <c r="CL8" s="119">
        <v>76</v>
      </c>
      <c r="CM8" s="119">
        <v>77</v>
      </c>
      <c r="CN8" s="119">
        <v>78</v>
      </c>
      <c r="CO8" s="119">
        <v>79</v>
      </c>
      <c r="CP8" s="119">
        <v>80</v>
      </c>
      <c r="CQ8" s="119">
        <v>81</v>
      </c>
      <c r="CR8" s="119">
        <v>82</v>
      </c>
      <c r="CS8" s="119">
        <v>83</v>
      </c>
      <c r="CT8" s="119">
        <v>84</v>
      </c>
      <c r="CU8" s="119">
        <v>85</v>
      </c>
      <c r="CV8" s="119">
        <v>86</v>
      </c>
      <c r="CW8" s="119">
        <v>87</v>
      </c>
      <c r="CX8" s="119">
        <v>88</v>
      </c>
      <c r="CY8" s="119">
        <v>89</v>
      </c>
      <c r="CZ8" s="119">
        <v>90</v>
      </c>
      <c r="DA8" s="119">
        <v>91</v>
      </c>
      <c r="DB8" s="119">
        <v>92</v>
      </c>
      <c r="DC8" s="119">
        <v>93</v>
      </c>
      <c r="DD8" s="119">
        <v>94</v>
      </c>
      <c r="DE8" s="119">
        <v>95</v>
      </c>
      <c r="DF8" s="119">
        <v>96</v>
      </c>
      <c r="DG8" s="119">
        <v>97</v>
      </c>
      <c r="DH8" s="119">
        <v>98</v>
      </c>
      <c r="DI8" s="119">
        <v>99</v>
      </c>
      <c r="DJ8" s="119">
        <v>100</v>
      </c>
      <c r="DK8" s="119">
        <v>101</v>
      </c>
      <c r="DL8" s="119">
        <v>102</v>
      </c>
      <c r="DM8" s="119">
        <v>103</v>
      </c>
      <c r="DN8" s="119">
        <v>104</v>
      </c>
      <c r="DO8" s="119">
        <v>105</v>
      </c>
      <c r="DP8" s="119">
        <v>106</v>
      </c>
      <c r="DQ8" s="119">
        <v>107</v>
      </c>
      <c r="DR8" s="119">
        <v>108</v>
      </c>
      <c r="DS8" s="119">
        <v>109</v>
      </c>
      <c r="DT8" s="119">
        <v>110</v>
      </c>
      <c r="DU8" s="119">
        <v>111</v>
      </c>
      <c r="DV8" s="119">
        <v>112</v>
      </c>
      <c r="DW8" s="119">
        <v>113</v>
      </c>
      <c r="DX8" s="119">
        <v>114</v>
      </c>
      <c r="DY8" s="119">
        <v>115</v>
      </c>
      <c r="DZ8" s="119">
        <v>116</v>
      </c>
      <c r="EA8" s="119">
        <v>117</v>
      </c>
      <c r="EB8" s="119">
        <v>118</v>
      </c>
      <c r="EC8" s="119">
        <v>119</v>
      </c>
      <c r="ED8" s="119">
        <v>120</v>
      </c>
      <c r="EE8" s="119">
        <v>121</v>
      </c>
      <c r="EF8" s="119">
        <v>122</v>
      </c>
      <c r="EG8" s="119">
        <v>123</v>
      </c>
      <c r="EH8" s="119">
        <v>124</v>
      </c>
      <c r="EI8" s="119">
        <v>125</v>
      </c>
      <c r="EJ8" s="119">
        <v>126</v>
      </c>
      <c r="EK8" s="119">
        <v>127</v>
      </c>
      <c r="EL8" s="119">
        <v>128</v>
      </c>
      <c r="EM8" s="119">
        <v>129</v>
      </c>
      <c r="EN8" s="119">
        <v>130</v>
      </c>
      <c r="EO8" s="119">
        <v>131</v>
      </c>
      <c r="EP8" s="119">
        <v>132</v>
      </c>
      <c r="EQ8" s="119">
        <v>133</v>
      </c>
      <c r="ER8" s="119">
        <v>134</v>
      </c>
      <c r="ES8" s="119">
        <v>135</v>
      </c>
      <c r="ET8" s="119">
        <v>136</v>
      </c>
      <c r="EU8" s="119">
        <v>137</v>
      </c>
      <c r="EV8" s="119">
        <v>138</v>
      </c>
      <c r="EW8" s="119">
        <v>139</v>
      </c>
      <c r="EX8" s="119">
        <v>140</v>
      </c>
      <c r="EY8" s="119">
        <v>141</v>
      </c>
      <c r="EZ8" s="119">
        <v>142</v>
      </c>
      <c r="FA8" s="119">
        <v>143</v>
      </c>
      <c r="FB8" s="119">
        <v>144</v>
      </c>
      <c r="FC8" s="119">
        <v>145</v>
      </c>
      <c r="FD8" s="119">
        <v>146</v>
      </c>
      <c r="FE8" s="119">
        <v>147</v>
      </c>
      <c r="FF8" s="119">
        <v>148</v>
      </c>
      <c r="FG8" s="119">
        <v>149</v>
      </c>
      <c r="FH8" s="119">
        <v>150</v>
      </c>
      <c r="FI8" s="119">
        <v>151</v>
      </c>
      <c r="FJ8" s="119">
        <v>152</v>
      </c>
      <c r="FK8" s="119">
        <v>153</v>
      </c>
      <c r="FL8" s="119">
        <v>154</v>
      </c>
      <c r="FM8" s="119">
        <v>155</v>
      </c>
      <c r="FN8" s="119">
        <v>156</v>
      </c>
      <c r="FO8" s="119">
        <v>157</v>
      </c>
      <c r="FP8" s="119">
        <v>158</v>
      </c>
      <c r="FQ8" s="119">
        <v>159</v>
      </c>
      <c r="FR8" s="119">
        <v>160</v>
      </c>
      <c r="FS8" s="119">
        <v>161</v>
      </c>
      <c r="FT8" s="119">
        <v>162</v>
      </c>
      <c r="FU8" s="119">
        <v>163</v>
      </c>
      <c r="FV8" s="119">
        <v>164</v>
      </c>
      <c r="FW8" s="119">
        <v>165</v>
      </c>
      <c r="FX8" s="119">
        <v>166</v>
      </c>
    </row>
    <row r="9" spans="1:181">
      <c r="B9" s="112" t="s">
        <v>332</v>
      </c>
      <c r="J9" s="116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7"/>
      <c r="AI9" s="117"/>
      <c r="AJ9" s="117"/>
      <c r="AK9" s="117"/>
      <c r="AL9" s="117"/>
      <c r="AM9" s="117"/>
      <c r="AN9" s="11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  <c r="BW9" s="117"/>
      <c r="BX9" s="117"/>
      <c r="BY9" s="117"/>
      <c r="BZ9" s="117"/>
      <c r="CA9" s="117"/>
      <c r="CB9" s="117"/>
      <c r="CC9" s="117"/>
      <c r="CD9" s="117"/>
      <c r="CE9" s="117"/>
      <c r="CF9" s="117"/>
      <c r="CG9" s="117"/>
      <c r="CH9" s="117"/>
      <c r="CI9" s="117"/>
      <c r="CJ9" s="117"/>
      <c r="CK9" s="117"/>
      <c r="CL9" s="117"/>
      <c r="CM9" s="117"/>
      <c r="CN9" s="117"/>
      <c r="CO9" s="117"/>
      <c r="CP9" s="117"/>
      <c r="CQ9" s="117"/>
      <c r="CR9" s="117"/>
      <c r="CS9" s="117"/>
      <c r="CT9" s="117"/>
      <c r="CU9" s="117"/>
      <c r="CV9" s="117"/>
      <c r="CW9" s="117"/>
      <c r="CX9" s="117"/>
      <c r="CY9" s="117"/>
      <c r="CZ9" s="117"/>
      <c r="DA9" s="117"/>
      <c r="DB9" s="117"/>
      <c r="DC9" s="117"/>
      <c r="DD9" s="117"/>
      <c r="DE9" s="117"/>
      <c r="DF9" s="117"/>
      <c r="DG9" s="117"/>
      <c r="DH9" s="117"/>
      <c r="DI9" s="117"/>
      <c r="DJ9" s="117"/>
      <c r="DK9" s="117"/>
      <c r="DL9" s="117"/>
      <c r="DM9" s="117"/>
      <c r="DN9" s="117"/>
      <c r="DO9" s="117"/>
      <c r="DP9" s="117"/>
      <c r="DQ9" s="117"/>
      <c r="DR9" s="117"/>
      <c r="DS9" s="117"/>
      <c r="DT9" s="117"/>
      <c r="DU9" s="117"/>
      <c r="DV9" s="117"/>
      <c r="DW9" s="117"/>
      <c r="DX9" s="117"/>
      <c r="DY9" s="117"/>
      <c r="DZ9" s="117"/>
      <c r="EA9" s="117"/>
      <c r="EB9" s="117"/>
      <c r="EC9" s="117"/>
      <c r="ED9" s="117"/>
      <c r="EE9" s="117"/>
      <c r="EF9" s="117"/>
      <c r="EG9" s="117"/>
      <c r="EH9" s="117"/>
      <c r="EI9" s="117"/>
      <c r="EJ9" s="117"/>
      <c r="EK9" s="117"/>
      <c r="EL9" s="117"/>
      <c r="EM9" s="117"/>
      <c r="EN9" s="117"/>
      <c r="EO9" s="117"/>
      <c r="EP9" s="117"/>
      <c r="EQ9" s="117"/>
      <c r="ER9" s="117"/>
      <c r="ES9" s="117"/>
      <c r="ET9" s="117"/>
      <c r="EU9" s="117"/>
      <c r="EV9" s="117"/>
      <c r="EW9" s="117"/>
      <c r="EX9" s="117"/>
      <c r="EY9" s="117"/>
      <c r="EZ9" s="117"/>
      <c r="FA9" s="117"/>
      <c r="FB9" s="117"/>
      <c r="FC9" s="117"/>
      <c r="FD9" s="117"/>
      <c r="FE9" s="117"/>
      <c r="FF9" s="117"/>
      <c r="FG9" s="117"/>
      <c r="FH9" s="117"/>
      <c r="FI9" s="117"/>
      <c r="FJ9" s="117"/>
      <c r="FK9" s="117"/>
      <c r="FL9" s="117"/>
      <c r="FM9" s="117"/>
      <c r="FN9" s="117"/>
      <c r="FO9" s="117"/>
      <c r="FP9" s="117"/>
      <c r="FQ9" s="117"/>
      <c r="FR9" s="117"/>
      <c r="FS9" s="117"/>
      <c r="FT9" s="117"/>
      <c r="FU9" s="117"/>
      <c r="FV9" s="117"/>
      <c r="FW9" s="117"/>
      <c r="FX9" s="117"/>
    </row>
    <row r="10" spans="1:181">
      <c r="B10" s="112" t="s">
        <v>333</v>
      </c>
      <c r="J10" s="116">
        <v>0</v>
      </c>
      <c r="K10" s="117">
        <v>0</v>
      </c>
      <c r="L10" s="117">
        <v>0</v>
      </c>
      <c r="M10" s="117">
        <v>0</v>
      </c>
      <c r="N10" s="117">
        <v>0</v>
      </c>
      <c r="O10" s="117">
        <v>1</v>
      </c>
      <c r="P10" s="117">
        <v>1</v>
      </c>
      <c r="Q10" s="117">
        <v>1</v>
      </c>
      <c r="R10" s="117">
        <v>1</v>
      </c>
      <c r="S10" s="117">
        <v>1</v>
      </c>
      <c r="T10" s="117">
        <v>1</v>
      </c>
      <c r="U10" s="117">
        <v>1</v>
      </c>
      <c r="V10" s="117">
        <v>1</v>
      </c>
      <c r="W10" s="117">
        <v>1</v>
      </c>
      <c r="X10" s="117">
        <v>1</v>
      </c>
      <c r="Y10" s="117">
        <v>1</v>
      </c>
      <c r="Z10" s="117">
        <v>1</v>
      </c>
      <c r="AA10" s="117">
        <v>2</v>
      </c>
      <c r="AB10" s="117">
        <v>2</v>
      </c>
      <c r="AC10" s="117">
        <v>2</v>
      </c>
      <c r="AD10" s="117">
        <v>2</v>
      </c>
      <c r="AE10" s="117">
        <v>2</v>
      </c>
      <c r="AF10" s="117">
        <v>2</v>
      </c>
      <c r="AG10" s="117">
        <v>2</v>
      </c>
      <c r="AH10" s="117">
        <v>2</v>
      </c>
      <c r="AI10" s="117">
        <v>2</v>
      </c>
      <c r="AJ10" s="117">
        <v>2</v>
      </c>
      <c r="AK10" s="117">
        <v>2</v>
      </c>
      <c r="AL10" s="117">
        <v>2</v>
      </c>
      <c r="AM10" s="117">
        <v>3</v>
      </c>
      <c r="AN10" s="117">
        <v>3</v>
      </c>
      <c r="AO10" s="117">
        <v>3</v>
      </c>
      <c r="AP10" s="117">
        <v>3</v>
      </c>
      <c r="AQ10" s="117">
        <v>3</v>
      </c>
      <c r="AR10" s="117">
        <v>3</v>
      </c>
      <c r="AS10" s="117">
        <v>3</v>
      </c>
      <c r="AT10" s="117">
        <v>3</v>
      </c>
      <c r="AU10" s="117">
        <v>3</v>
      </c>
      <c r="AV10" s="117">
        <v>3</v>
      </c>
      <c r="AW10" s="117">
        <v>3</v>
      </c>
      <c r="AX10" s="117">
        <v>3</v>
      </c>
      <c r="AY10" s="117">
        <v>4</v>
      </c>
      <c r="AZ10" s="117">
        <v>4</v>
      </c>
      <c r="BA10" s="117">
        <v>4</v>
      </c>
      <c r="BB10" s="117">
        <v>4</v>
      </c>
      <c r="BC10" s="117">
        <v>4</v>
      </c>
      <c r="BD10" s="117">
        <v>4</v>
      </c>
      <c r="BE10" s="117">
        <v>4</v>
      </c>
      <c r="BF10" s="117">
        <v>4</v>
      </c>
      <c r="BG10" s="117">
        <v>4</v>
      </c>
      <c r="BH10" s="117">
        <v>4</v>
      </c>
      <c r="BI10" s="117">
        <v>4</v>
      </c>
      <c r="BJ10" s="117">
        <v>4</v>
      </c>
      <c r="BK10" s="117">
        <v>5</v>
      </c>
      <c r="BL10" s="117">
        <v>5</v>
      </c>
      <c r="BM10" s="117">
        <v>5</v>
      </c>
      <c r="BN10" s="117">
        <v>5</v>
      </c>
      <c r="BO10" s="117">
        <v>5</v>
      </c>
      <c r="BP10" s="117">
        <v>5</v>
      </c>
      <c r="BQ10" s="117">
        <v>5</v>
      </c>
      <c r="BR10" s="117">
        <v>5</v>
      </c>
      <c r="BS10" s="117">
        <v>5</v>
      </c>
      <c r="BT10" s="117">
        <v>5</v>
      </c>
      <c r="BU10" s="117">
        <v>5</v>
      </c>
      <c r="BV10" s="117">
        <v>5</v>
      </c>
      <c r="BW10" s="117">
        <v>6</v>
      </c>
      <c r="BX10" s="117">
        <v>6</v>
      </c>
      <c r="BY10" s="117">
        <v>6</v>
      </c>
      <c r="BZ10" s="117">
        <v>6</v>
      </c>
      <c r="CA10" s="117">
        <v>6</v>
      </c>
      <c r="CB10" s="117">
        <v>6</v>
      </c>
      <c r="CC10" s="117">
        <v>6</v>
      </c>
      <c r="CD10" s="117">
        <v>6</v>
      </c>
      <c r="CE10" s="117">
        <v>6</v>
      </c>
      <c r="CF10" s="117">
        <v>6</v>
      </c>
      <c r="CG10" s="117">
        <v>6</v>
      </c>
      <c r="CH10" s="117">
        <v>6</v>
      </c>
      <c r="CI10" s="117">
        <v>7</v>
      </c>
      <c r="CJ10" s="117">
        <v>7</v>
      </c>
      <c r="CK10" s="117">
        <v>7</v>
      </c>
      <c r="CL10" s="117">
        <v>7</v>
      </c>
      <c r="CM10" s="117">
        <v>7</v>
      </c>
      <c r="CN10" s="117">
        <v>7</v>
      </c>
      <c r="CO10" s="117">
        <v>7</v>
      </c>
      <c r="CP10" s="117">
        <v>7</v>
      </c>
      <c r="CQ10" s="117">
        <v>7</v>
      </c>
      <c r="CR10" s="117">
        <v>7</v>
      </c>
      <c r="CS10" s="117">
        <v>7</v>
      </c>
      <c r="CT10" s="117">
        <v>7</v>
      </c>
      <c r="CU10" s="117">
        <v>8</v>
      </c>
      <c r="CV10" s="117">
        <v>8</v>
      </c>
      <c r="CW10" s="117">
        <v>8</v>
      </c>
      <c r="CX10" s="117">
        <v>8</v>
      </c>
      <c r="CY10" s="117">
        <v>8</v>
      </c>
      <c r="CZ10" s="117">
        <v>8</v>
      </c>
      <c r="DA10" s="117">
        <v>8</v>
      </c>
      <c r="DB10" s="117">
        <v>8</v>
      </c>
      <c r="DC10" s="117">
        <v>8</v>
      </c>
      <c r="DD10" s="117">
        <v>8</v>
      </c>
      <c r="DE10" s="117">
        <v>8</v>
      </c>
      <c r="DF10" s="117">
        <v>8</v>
      </c>
      <c r="DG10" s="117">
        <v>9</v>
      </c>
      <c r="DH10" s="117">
        <v>9</v>
      </c>
      <c r="DI10" s="117">
        <v>9</v>
      </c>
      <c r="DJ10" s="117">
        <v>9</v>
      </c>
      <c r="DK10" s="117">
        <v>9</v>
      </c>
      <c r="DL10" s="117">
        <v>9</v>
      </c>
      <c r="DM10" s="117">
        <v>9</v>
      </c>
      <c r="DN10" s="117">
        <v>9</v>
      </c>
      <c r="DO10" s="117">
        <v>9</v>
      </c>
      <c r="DP10" s="117">
        <v>9</v>
      </c>
      <c r="DQ10" s="117">
        <v>9</v>
      </c>
      <c r="DR10" s="117">
        <v>9</v>
      </c>
      <c r="DS10" s="117">
        <v>10</v>
      </c>
      <c r="DT10" s="117">
        <v>10</v>
      </c>
      <c r="DU10" s="117">
        <v>10</v>
      </c>
      <c r="DV10" s="117">
        <v>10</v>
      </c>
      <c r="DW10" s="117">
        <v>10</v>
      </c>
      <c r="DX10" s="117">
        <v>10</v>
      </c>
      <c r="DY10" s="117">
        <v>10</v>
      </c>
      <c r="DZ10" s="117">
        <v>10</v>
      </c>
      <c r="EA10" s="117">
        <v>10</v>
      </c>
      <c r="EB10" s="117">
        <v>10</v>
      </c>
      <c r="EC10" s="117">
        <v>10</v>
      </c>
      <c r="ED10" s="117">
        <v>10</v>
      </c>
      <c r="EE10" s="117">
        <v>11</v>
      </c>
      <c r="EF10" s="117">
        <v>11</v>
      </c>
      <c r="EG10" s="117">
        <v>11</v>
      </c>
      <c r="EH10" s="117">
        <v>11</v>
      </c>
      <c r="EI10" s="117">
        <v>11</v>
      </c>
      <c r="EJ10" s="117">
        <v>11</v>
      </c>
      <c r="EK10" s="117">
        <v>11</v>
      </c>
      <c r="EL10" s="117">
        <v>11</v>
      </c>
      <c r="EM10" s="117">
        <v>11</v>
      </c>
      <c r="EN10" s="117">
        <v>11</v>
      </c>
      <c r="EO10" s="117">
        <v>11</v>
      </c>
      <c r="EP10" s="117">
        <v>11</v>
      </c>
      <c r="EQ10" s="117">
        <v>12</v>
      </c>
      <c r="ER10" s="117">
        <v>12</v>
      </c>
      <c r="ES10" s="117">
        <v>12</v>
      </c>
      <c r="ET10" s="117">
        <v>12</v>
      </c>
      <c r="EU10" s="117">
        <v>12</v>
      </c>
      <c r="EV10" s="117">
        <v>12</v>
      </c>
      <c r="EW10" s="117">
        <v>12</v>
      </c>
      <c r="EX10" s="117">
        <v>12</v>
      </c>
      <c r="EY10" s="117">
        <v>12</v>
      </c>
      <c r="EZ10" s="117">
        <v>12</v>
      </c>
      <c r="FA10" s="117">
        <v>12</v>
      </c>
      <c r="FB10" s="117">
        <v>12</v>
      </c>
      <c r="FC10" s="117">
        <v>13</v>
      </c>
      <c r="FD10" s="117">
        <v>13</v>
      </c>
      <c r="FE10" s="117">
        <v>13</v>
      </c>
      <c r="FF10" s="117">
        <v>13</v>
      </c>
      <c r="FG10" s="117">
        <v>13</v>
      </c>
      <c r="FH10" s="117">
        <v>13</v>
      </c>
      <c r="FI10" s="117">
        <v>13</v>
      </c>
      <c r="FJ10" s="117">
        <v>13</v>
      </c>
      <c r="FK10" s="117">
        <v>13</v>
      </c>
      <c r="FL10" s="117">
        <v>13</v>
      </c>
      <c r="FM10" s="117">
        <v>13</v>
      </c>
      <c r="FN10" s="117">
        <v>13</v>
      </c>
      <c r="FO10" s="117">
        <v>14</v>
      </c>
      <c r="FP10" s="117">
        <v>14</v>
      </c>
      <c r="FQ10" s="117">
        <v>14</v>
      </c>
      <c r="FR10" s="117">
        <v>14</v>
      </c>
      <c r="FS10" s="117">
        <v>14</v>
      </c>
      <c r="FT10" s="117">
        <v>14</v>
      </c>
      <c r="FU10" s="117">
        <v>14</v>
      </c>
      <c r="FV10" s="117">
        <v>14</v>
      </c>
      <c r="FW10" s="117">
        <v>14</v>
      </c>
      <c r="FX10" s="117">
        <v>14</v>
      </c>
    </row>
    <row r="11" spans="1:181">
      <c r="B11" s="112" t="s">
        <v>334</v>
      </c>
      <c r="J11" s="116">
        <v>7</v>
      </c>
      <c r="K11" s="117">
        <v>8</v>
      </c>
      <c r="L11" s="117">
        <v>9</v>
      </c>
      <c r="M11" s="117">
        <v>10</v>
      </c>
      <c r="N11" s="117">
        <v>11</v>
      </c>
      <c r="O11" s="117">
        <v>1</v>
      </c>
      <c r="P11" s="117">
        <v>2</v>
      </c>
      <c r="Q11" s="117">
        <v>3</v>
      </c>
      <c r="R11" s="117">
        <v>4</v>
      </c>
      <c r="S11" s="117">
        <v>5</v>
      </c>
      <c r="T11" s="117">
        <v>6</v>
      </c>
      <c r="U11" s="117">
        <v>7</v>
      </c>
      <c r="V11" s="117">
        <v>8</v>
      </c>
      <c r="W11" s="117">
        <v>9</v>
      </c>
      <c r="X11" s="117">
        <v>10</v>
      </c>
      <c r="Y11" s="117">
        <v>11</v>
      </c>
      <c r="Z11" s="117">
        <v>12</v>
      </c>
      <c r="AA11" s="117">
        <v>1</v>
      </c>
      <c r="AB11" s="117">
        <v>2</v>
      </c>
      <c r="AC11" s="117">
        <v>3</v>
      </c>
      <c r="AD11" s="117">
        <v>4</v>
      </c>
      <c r="AE11" s="117">
        <v>5</v>
      </c>
      <c r="AF11" s="117">
        <v>6</v>
      </c>
      <c r="AG11" s="117">
        <v>7</v>
      </c>
      <c r="AH11" s="117">
        <v>8</v>
      </c>
      <c r="AI11" s="117">
        <v>9</v>
      </c>
      <c r="AJ11" s="117">
        <v>10</v>
      </c>
      <c r="AK11" s="117">
        <v>11</v>
      </c>
      <c r="AL11" s="117">
        <v>12</v>
      </c>
      <c r="AM11" s="117">
        <v>1</v>
      </c>
      <c r="AN11" s="117">
        <v>2</v>
      </c>
      <c r="AO11" s="117">
        <v>3</v>
      </c>
      <c r="AP11" s="117">
        <v>4</v>
      </c>
      <c r="AQ11" s="117">
        <v>5</v>
      </c>
      <c r="AR11" s="117">
        <v>6</v>
      </c>
      <c r="AS11" s="117">
        <v>7</v>
      </c>
      <c r="AT11" s="117">
        <v>8</v>
      </c>
      <c r="AU11" s="117">
        <v>9</v>
      </c>
      <c r="AV11" s="117">
        <v>10</v>
      </c>
      <c r="AW11" s="117">
        <v>11</v>
      </c>
      <c r="AX11" s="117">
        <v>12</v>
      </c>
      <c r="AY11" s="117">
        <v>1</v>
      </c>
      <c r="AZ11" s="117">
        <v>2</v>
      </c>
      <c r="BA11" s="117">
        <v>3</v>
      </c>
      <c r="BB11" s="117">
        <v>4</v>
      </c>
      <c r="BC11" s="117">
        <v>5</v>
      </c>
      <c r="BD11" s="117">
        <v>6</v>
      </c>
      <c r="BE11" s="117">
        <v>7</v>
      </c>
      <c r="BF11" s="117">
        <v>8</v>
      </c>
      <c r="BG11" s="117">
        <v>9</v>
      </c>
      <c r="BH11" s="117">
        <v>10</v>
      </c>
      <c r="BI11" s="117">
        <v>11</v>
      </c>
      <c r="BJ11" s="117">
        <v>12</v>
      </c>
      <c r="BK11" s="117">
        <v>1</v>
      </c>
      <c r="BL11" s="117">
        <v>2</v>
      </c>
      <c r="BM11" s="117">
        <v>3</v>
      </c>
      <c r="BN11" s="117">
        <v>4</v>
      </c>
      <c r="BO11" s="117">
        <v>5</v>
      </c>
      <c r="BP11" s="117">
        <v>6</v>
      </c>
      <c r="BQ11" s="117">
        <v>7</v>
      </c>
      <c r="BR11" s="117">
        <v>8</v>
      </c>
      <c r="BS11" s="117">
        <v>9</v>
      </c>
      <c r="BT11" s="117">
        <v>10</v>
      </c>
      <c r="BU11" s="117">
        <v>11</v>
      </c>
      <c r="BV11" s="117">
        <v>12</v>
      </c>
      <c r="BW11" s="117">
        <v>1</v>
      </c>
      <c r="BX11" s="117">
        <v>2</v>
      </c>
      <c r="BY11" s="117">
        <v>3</v>
      </c>
      <c r="BZ11" s="117">
        <v>4</v>
      </c>
      <c r="CA11" s="117">
        <v>5</v>
      </c>
      <c r="CB11" s="117">
        <v>6</v>
      </c>
      <c r="CC11" s="117">
        <v>7</v>
      </c>
      <c r="CD11" s="117">
        <v>8</v>
      </c>
      <c r="CE11" s="117">
        <v>9</v>
      </c>
      <c r="CF11" s="117">
        <v>10</v>
      </c>
      <c r="CG11" s="117">
        <v>11</v>
      </c>
      <c r="CH11" s="117">
        <v>12</v>
      </c>
      <c r="CI11" s="117">
        <v>1</v>
      </c>
      <c r="CJ11" s="117">
        <v>2</v>
      </c>
      <c r="CK11" s="117">
        <v>3</v>
      </c>
      <c r="CL11" s="117">
        <v>4</v>
      </c>
      <c r="CM11" s="117">
        <v>5</v>
      </c>
      <c r="CN11" s="117">
        <v>6</v>
      </c>
      <c r="CO11" s="117">
        <v>7</v>
      </c>
      <c r="CP11" s="117">
        <v>8</v>
      </c>
      <c r="CQ11" s="117">
        <v>9</v>
      </c>
      <c r="CR11" s="117">
        <v>10</v>
      </c>
      <c r="CS11" s="117">
        <v>11</v>
      </c>
      <c r="CT11" s="117">
        <v>12</v>
      </c>
      <c r="CU11" s="117">
        <v>1</v>
      </c>
      <c r="CV11" s="117">
        <v>2</v>
      </c>
      <c r="CW11" s="117">
        <v>3</v>
      </c>
      <c r="CX11" s="117">
        <v>4</v>
      </c>
      <c r="CY11" s="117">
        <v>5</v>
      </c>
      <c r="CZ11" s="117">
        <v>6</v>
      </c>
      <c r="DA11" s="117">
        <v>7</v>
      </c>
      <c r="DB11" s="117">
        <v>8</v>
      </c>
      <c r="DC11" s="117">
        <v>9</v>
      </c>
      <c r="DD11" s="117">
        <v>10</v>
      </c>
      <c r="DE11" s="117">
        <v>11</v>
      </c>
      <c r="DF11" s="117">
        <v>12</v>
      </c>
      <c r="DG11" s="117">
        <v>1</v>
      </c>
      <c r="DH11" s="117">
        <v>2</v>
      </c>
      <c r="DI11" s="117">
        <v>3</v>
      </c>
      <c r="DJ11" s="117">
        <v>4</v>
      </c>
      <c r="DK11" s="117">
        <v>5</v>
      </c>
      <c r="DL11" s="117">
        <v>6</v>
      </c>
      <c r="DM11" s="117">
        <v>7</v>
      </c>
      <c r="DN11" s="117">
        <v>8</v>
      </c>
      <c r="DO11" s="117">
        <v>9</v>
      </c>
      <c r="DP11" s="117">
        <v>10</v>
      </c>
      <c r="DQ11" s="117">
        <v>11</v>
      </c>
      <c r="DR11" s="117">
        <v>12</v>
      </c>
      <c r="DS11" s="117">
        <v>1</v>
      </c>
      <c r="DT11" s="117">
        <v>2</v>
      </c>
      <c r="DU11" s="117">
        <v>3</v>
      </c>
      <c r="DV11" s="117">
        <v>4</v>
      </c>
      <c r="DW11" s="117">
        <v>5</v>
      </c>
      <c r="DX11" s="117">
        <v>6</v>
      </c>
      <c r="DY11" s="117">
        <v>7</v>
      </c>
      <c r="DZ11" s="117">
        <v>8</v>
      </c>
      <c r="EA11" s="117">
        <v>9</v>
      </c>
      <c r="EB11" s="117">
        <v>10</v>
      </c>
      <c r="EC11" s="117">
        <v>11</v>
      </c>
      <c r="ED11" s="117">
        <v>12</v>
      </c>
      <c r="EE11" s="117">
        <v>1</v>
      </c>
      <c r="EF11" s="117">
        <v>2</v>
      </c>
      <c r="EG11" s="117">
        <v>3</v>
      </c>
      <c r="EH11" s="117">
        <v>4</v>
      </c>
      <c r="EI11" s="117">
        <v>5</v>
      </c>
      <c r="EJ11" s="117">
        <v>6</v>
      </c>
      <c r="EK11" s="117">
        <v>7</v>
      </c>
      <c r="EL11" s="117">
        <v>8</v>
      </c>
      <c r="EM11" s="117">
        <v>9</v>
      </c>
      <c r="EN11" s="117">
        <v>10</v>
      </c>
      <c r="EO11" s="117">
        <v>11</v>
      </c>
      <c r="EP11" s="117">
        <v>12</v>
      </c>
      <c r="EQ11" s="117">
        <v>1</v>
      </c>
      <c r="ER11" s="117">
        <v>2</v>
      </c>
      <c r="ES11" s="117">
        <v>3</v>
      </c>
      <c r="ET11" s="117">
        <v>4</v>
      </c>
      <c r="EU11" s="117">
        <v>5</v>
      </c>
      <c r="EV11" s="117">
        <v>6</v>
      </c>
      <c r="EW11" s="117">
        <v>7</v>
      </c>
      <c r="EX11" s="117">
        <v>8</v>
      </c>
      <c r="EY11" s="117">
        <v>9</v>
      </c>
      <c r="EZ11" s="117">
        <v>10</v>
      </c>
      <c r="FA11" s="117">
        <v>11</v>
      </c>
      <c r="FB11" s="117">
        <v>12</v>
      </c>
      <c r="FC11" s="117">
        <v>1</v>
      </c>
      <c r="FD11" s="117">
        <v>2</v>
      </c>
      <c r="FE11" s="117">
        <v>3</v>
      </c>
      <c r="FF11" s="117">
        <v>4</v>
      </c>
      <c r="FG11" s="117">
        <v>5</v>
      </c>
      <c r="FH11" s="117">
        <v>6</v>
      </c>
      <c r="FI11" s="117">
        <v>7</v>
      </c>
      <c r="FJ11" s="117">
        <v>8</v>
      </c>
      <c r="FK11" s="117">
        <v>9</v>
      </c>
      <c r="FL11" s="117">
        <v>10</v>
      </c>
      <c r="FM11" s="117">
        <v>11</v>
      </c>
      <c r="FN11" s="117">
        <v>12</v>
      </c>
      <c r="FO11" s="117">
        <v>1</v>
      </c>
      <c r="FP11" s="117">
        <v>2</v>
      </c>
      <c r="FQ11" s="117">
        <v>3</v>
      </c>
      <c r="FR11" s="117">
        <v>4</v>
      </c>
      <c r="FS11" s="117">
        <v>5</v>
      </c>
      <c r="FT11" s="117">
        <v>6</v>
      </c>
      <c r="FU11" s="117">
        <v>7</v>
      </c>
      <c r="FV11" s="117">
        <v>8</v>
      </c>
      <c r="FW11" s="117">
        <v>9</v>
      </c>
      <c r="FX11" s="117">
        <v>10</v>
      </c>
    </row>
    <row r="12" spans="1:181">
      <c r="B12" s="112" t="s">
        <v>335</v>
      </c>
      <c r="J12" s="116">
        <v>8</v>
      </c>
      <c r="K12" s="117">
        <v>9</v>
      </c>
      <c r="L12" s="117">
        <v>10</v>
      </c>
      <c r="M12" s="117">
        <v>11</v>
      </c>
      <c r="N12" s="117">
        <v>12</v>
      </c>
      <c r="O12" s="117">
        <v>1</v>
      </c>
      <c r="P12" s="117">
        <v>2</v>
      </c>
      <c r="Q12" s="117">
        <v>3</v>
      </c>
      <c r="R12" s="117">
        <v>4</v>
      </c>
      <c r="S12" s="117">
        <v>5</v>
      </c>
      <c r="T12" s="117">
        <v>6</v>
      </c>
      <c r="U12" s="117">
        <v>7</v>
      </c>
      <c r="V12" s="117">
        <v>8</v>
      </c>
      <c r="W12" s="117">
        <v>9</v>
      </c>
      <c r="X12" s="117">
        <v>10</v>
      </c>
      <c r="Y12" s="117">
        <v>11</v>
      </c>
      <c r="Z12" s="117">
        <v>12</v>
      </c>
      <c r="AA12" s="117">
        <v>1</v>
      </c>
      <c r="AB12" s="117">
        <v>2</v>
      </c>
      <c r="AC12" s="117">
        <v>3</v>
      </c>
      <c r="AD12" s="117">
        <v>4</v>
      </c>
      <c r="AE12" s="117">
        <v>5</v>
      </c>
      <c r="AF12" s="117">
        <v>6</v>
      </c>
      <c r="AG12" s="117">
        <v>7</v>
      </c>
      <c r="AH12" s="117">
        <v>8</v>
      </c>
      <c r="AI12" s="117">
        <v>9</v>
      </c>
      <c r="AJ12" s="117">
        <v>10</v>
      </c>
      <c r="AK12" s="117">
        <v>11</v>
      </c>
      <c r="AL12" s="117">
        <v>12</v>
      </c>
      <c r="AM12" s="117">
        <v>1</v>
      </c>
      <c r="AN12" s="117">
        <v>2</v>
      </c>
      <c r="AO12" s="117">
        <v>3</v>
      </c>
      <c r="AP12" s="117">
        <v>4</v>
      </c>
      <c r="AQ12" s="117">
        <v>5</v>
      </c>
      <c r="AR12" s="117">
        <v>6</v>
      </c>
      <c r="AS12" s="117">
        <v>7</v>
      </c>
      <c r="AT12" s="117">
        <v>8</v>
      </c>
      <c r="AU12" s="117">
        <v>9</v>
      </c>
      <c r="AV12" s="117">
        <v>10</v>
      </c>
      <c r="AW12" s="117">
        <v>11</v>
      </c>
      <c r="AX12" s="117">
        <v>12</v>
      </c>
      <c r="AY12" s="117">
        <v>1</v>
      </c>
      <c r="AZ12" s="117">
        <v>2</v>
      </c>
      <c r="BA12" s="117">
        <v>3</v>
      </c>
      <c r="BB12" s="117">
        <v>4</v>
      </c>
      <c r="BC12" s="117">
        <v>5</v>
      </c>
      <c r="BD12" s="117">
        <v>6</v>
      </c>
      <c r="BE12" s="117">
        <v>7</v>
      </c>
      <c r="BF12" s="117">
        <v>8</v>
      </c>
      <c r="BG12" s="117">
        <v>9</v>
      </c>
      <c r="BH12" s="117">
        <v>10</v>
      </c>
      <c r="BI12" s="117">
        <v>11</v>
      </c>
      <c r="BJ12" s="117">
        <v>12</v>
      </c>
      <c r="BK12" s="117">
        <v>1</v>
      </c>
      <c r="BL12" s="117">
        <v>2</v>
      </c>
      <c r="BM12" s="117">
        <v>3</v>
      </c>
      <c r="BN12" s="117">
        <v>4</v>
      </c>
      <c r="BO12" s="117">
        <v>5</v>
      </c>
      <c r="BP12" s="117">
        <v>6</v>
      </c>
      <c r="BQ12" s="117">
        <v>7</v>
      </c>
      <c r="BR12" s="117">
        <v>8</v>
      </c>
      <c r="BS12" s="117">
        <v>9</v>
      </c>
      <c r="BT12" s="117">
        <v>10</v>
      </c>
      <c r="BU12" s="117">
        <v>11</v>
      </c>
      <c r="BV12" s="117">
        <v>12</v>
      </c>
      <c r="BW12" s="117">
        <v>1</v>
      </c>
      <c r="BX12" s="117">
        <v>2</v>
      </c>
      <c r="BY12" s="117">
        <v>3</v>
      </c>
      <c r="BZ12" s="117">
        <v>4</v>
      </c>
      <c r="CA12" s="117">
        <v>5</v>
      </c>
      <c r="CB12" s="117">
        <v>6</v>
      </c>
      <c r="CC12" s="117">
        <v>7</v>
      </c>
      <c r="CD12" s="117">
        <v>8</v>
      </c>
      <c r="CE12" s="117">
        <v>9</v>
      </c>
      <c r="CF12" s="117">
        <v>10</v>
      </c>
      <c r="CG12" s="117">
        <v>11</v>
      </c>
      <c r="CH12" s="117">
        <v>12</v>
      </c>
      <c r="CI12" s="117">
        <v>1</v>
      </c>
      <c r="CJ12" s="117">
        <v>2</v>
      </c>
      <c r="CK12" s="117">
        <v>3</v>
      </c>
      <c r="CL12" s="117">
        <v>4</v>
      </c>
      <c r="CM12" s="117">
        <v>5</v>
      </c>
      <c r="CN12" s="117">
        <v>6</v>
      </c>
      <c r="CO12" s="117">
        <v>7</v>
      </c>
      <c r="CP12" s="117">
        <v>8</v>
      </c>
      <c r="CQ12" s="117">
        <v>9</v>
      </c>
      <c r="CR12" s="117">
        <v>10</v>
      </c>
      <c r="CS12" s="117">
        <v>11</v>
      </c>
      <c r="CT12" s="117">
        <v>12</v>
      </c>
      <c r="CU12" s="117">
        <v>1</v>
      </c>
      <c r="CV12" s="117">
        <v>2</v>
      </c>
      <c r="CW12" s="117">
        <v>3</v>
      </c>
      <c r="CX12" s="117">
        <v>4</v>
      </c>
      <c r="CY12" s="117">
        <v>5</v>
      </c>
      <c r="CZ12" s="117">
        <v>6</v>
      </c>
      <c r="DA12" s="117">
        <v>7</v>
      </c>
      <c r="DB12" s="117">
        <v>8</v>
      </c>
      <c r="DC12" s="117">
        <v>9</v>
      </c>
      <c r="DD12" s="117">
        <v>10</v>
      </c>
      <c r="DE12" s="117">
        <v>11</v>
      </c>
      <c r="DF12" s="117">
        <v>12</v>
      </c>
      <c r="DG12" s="117">
        <v>1</v>
      </c>
      <c r="DH12" s="117">
        <v>2</v>
      </c>
      <c r="DI12" s="117">
        <v>3</v>
      </c>
      <c r="DJ12" s="117">
        <v>4</v>
      </c>
      <c r="DK12" s="117">
        <v>5</v>
      </c>
      <c r="DL12" s="117">
        <v>6</v>
      </c>
      <c r="DM12" s="117">
        <v>7</v>
      </c>
      <c r="DN12" s="117">
        <v>8</v>
      </c>
      <c r="DO12" s="117">
        <v>9</v>
      </c>
      <c r="DP12" s="117">
        <v>10</v>
      </c>
      <c r="DQ12" s="117">
        <v>11</v>
      </c>
      <c r="DR12" s="117">
        <v>12</v>
      </c>
      <c r="DS12" s="117">
        <v>1</v>
      </c>
      <c r="DT12" s="117">
        <v>2</v>
      </c>
      <c r="DU12" s="117">
        <v>3</v>
      </c>
      <c r="DV12" s="117">
        <v>4</v>
      </c>
      <c r="DW12" s="117">
        <v>5</v>
      </c>
      <c r="DX12" s="117">
        <v>6</v>
      </c>
      <c r="DY12" s="117">
        <v>7</v>
      </c>
      <c r="DZ12" s="117">
        <v>8</v>
      </c>
      <c r="EA12" s="117">
        <v>9</v>
      </c>
      <c r="EB12" s="117">
        <v>10</v>
      </c>
      <c r="EC12" s="117">
        <v>11</v>
      </c>
      <c r="ED12" s="117">
        <v>12</v>
      </c>
      <c r="EE12" s="117">
        <v>1</v>
      </c>
      <c r="EF12" s="117">
        <v>2</v>
      </c>
      <c r="EG12" s="117">
        <v>3</v>
      </c>
      <c r="EH12" s="117">
        <v>4</v>
      </c>
      <c r="EI12" s="117">
        <v>5</v>
      </c>
      <c r="EJ12" s="117">
        <v>6</v>
      </c>
      <c r="EK12" s="117">
        <v>7</v>
      </c>
      <c r="EL12" s="117">
        <v>8</v>
      </c>
      <c r="EM12" s="117">
        <v>9</v>
      </c>
      <c r="EN12" s="117">
        <v>10</v>
      </c>
      <c r="EO12" s="117">
        <v>11</v>
      </c>
      <c r="EP12" s="117">
        <v>12</v>
      </c>
      <c r="EQ12" s="117">
        <v>1</v>
      </c>
      <c r="ER12" s="117">
        <v>2</v>
      </c>
      <c r="ES12" s="117">
        <v>3</v>
      </c>
      <c r="ET12" s="117">
        <v>4</v>
      </c>
      <c r="EU12" s="117">
        <v>5</v>
      </c>
      <c r="EV12" s="117">
        <v>6</v>
      </c>
      <c r="EW12" s="117">
        <v>7</v>
      </c>
      <c r="EX12" s="117">
        <v>8</v>
      </c>
      <c r="EY12" s="117">
        <v>9</v>
      </c>
      <c r="EZ12" s="117">
        <v>10</v>
      </c>
      <c r="FA12" s="117">
        <v>11</v>
      </c>
      <c r="FB12" s="117">
        <v>12</v>
      </c>
      <c r="FC12" s="117">
        <v>1</v>
      </c>
      <c r="FD12" s="117">
        <v>2</v>
      </c>
      <c r="FE12" s="117">
        <v>3</v>
      </c>
      <c r="FF12" s="117">
        <v>4</v>
      </c>
      <c r="FG12" s="117">
        <v>5</v>
      </c>
      <c r="FH12" s="117">
        <v>6</v>
      </c>
      <c r="FI12" s="117">
        <v>7</v>
      </c>
      <c r="FJ12" s="117">
        <v>8</v>
      </c>
      <c r="FK12" s="117">
        <v>9</v>
      </c>
      <c r="FL12" s="117">
        <v>10</v>
      </c>
      <c r="FM12" s="117">
        <v>11</v>
      </c>
      <c r="FN12" s="117">
        <v>12</v>
      </c>
      <c r="FO12" s="117">
        <v>1</v>
      </c>
      <c r="FP12" s="117">
        <v>2</v>
      </c>
      <c r="FQ12" s="117">
        <v>3</v>
      </c>
      <c r="FR12" s="117">
        <v>4</v>
      </c>
      <c r="FS12" s="117">
        <v>5</v>
      </c>
      <c r="FT12" s="117">
        <v>6</v>
      </c>
      <c r="FU12" s="117">
        <v>7</v>
      </c>
      <c r="FV12" s="117">
        <v>8</v>
      </c>
      <c r="FW12" s="117">
        <v>9</v>
      </c>
      <c r="FX12" s="117">
        <v>10</v>
      </c>
    </row>
    <row r="13" spans="1:181">
      <c r="B13" s="112" t="s">
        <v>336</v>
      </c>
      <c r="J13" s="116" t="s">
        <v>321</v>
      </c>
      <c r="K13" s="120" t="s">
        <v>322</v>
      </c>
      <c r="L13" s="120" t="s">
        <v>323</v>
      </c>
      <c r="M13" s="120" t="s">
        <v>324</v>
      </c>
      <c r="N13" s="120" t="s">
        <v>325</v>
      </c>
      <c r="O13" s="120" t="s">
        <v>314</v>
      </c>
      <c r="P13" s="120" t="s">
        <v>315</v>
      </c>
      <c r="Q13" s="120" t="s">
        <v>316</v>
      </c>
      <c r="R13" s="120" t="s">
        <v>317</v>
      </c>
      <c r="S13" s="120" t="s">
        <v>318</v>
      </c>
      <c r="T13" s="120" t="s">
        <v>319</v>
      </c>
      <c r="U13" s="120" t="s">
        <v>320</v>
      </c>
      <c r="V13" s="120" t="s">
        <v>321</v>
      </c>
      <c r="W13" s="120" t="s">
        <v>322</v>
      </c>
      <c r="X13" s="120" t="s">
        <v>323</v>
      </c>
      <c r="Y13" s="120" t="s">
        <v>324</v>
      </c>
      <c r="Z13" s="120" t="s">
        <v>325</v>
      </c>
      <c r="AA13" s="120" t="s">
        <v>314</v>
      </c>
      <c r="AB13" s="120" t="s">
        <v>315</v>
      </c>
      <c r="AC13" s="120" t="s">
        <v>316</v>
      </c>
      <c r="AD13" s="120" t="s">
        <v>317</v>
      </c>
      <c r="AE13" s="120" t="s">
        <v>318</v>
      </c>
      <c r="AF13" s="120" t="s">
        <v>319</v>
      </c>
      <c r="AG13" s="120" t="s">
        <v>320</v>
      </c>
      <c r="AH13" s="120" t="s">
        <v>321</v>
      </c>
      <c r="AI13" s="120" t="s">
        <v>322</v>
      </c>
      <c r="AJ13" s="120" t="s">
        <v>323</v>
      </c>
      <c r="AK13" s="120" t="s">
        <v>324</v>
      </c>
      <c r="AL13" s="120" t="s">
        <v>325</v>
      </c>
      <c r="AM13" s="120" t="s">
        <v>314</v>
      </c>
      <c r="AN13" s="120" t="s">
        <v>315</v>
      </c>
      <c r="AO13" s="120" t="s">
        <v>316</v>
      </c>
      <c r="AP13" s="120" t="s">
        <v>317</v>
      </c>
      <c r="AQ13" s="120" t="s">
        <v>318</v>
      </c>
      <c r="AR13" s="120" t="s">
        <v>319</v>
      </c>
      <c r="AS13" s="120" t="s">
        <v>320</v>
      </c>
      <c r="AT13" s="120" t="s">
        <v>321</v>
      </c>
      <c r="AU13" s="120" t="s">
        <v>322</v>
      </c>
      <c r="AV13" s="120" t="s">
        <v>323</v>
      </c>
      <c r="AW13" s="120" t="s">
        <v>324</v>
      </c>
      <c r="AX13" s="120" t="s">
        <v>325</v>
      </c>
      <c r="AY13" s="120" t="s">
        <v>314</v>
      </c>
      <c r="AZ13" s="120" t="s">
        <v>315</v>
      </c>
      <c r="BA13" s="120" t="s">
        <v>316</v>
      </c>
      <c r="BB13" s="120" t="s">
        <v>317</v>
      </c>
      <c r="BC13" s="120" t="s">
        <v>318</v>
      </c>
      <c r="BD13" s="120" t="s">
        <v>319</v>
      </c>
      <c r="BE13" s="120" t="s">
        <v>320</v>
      </c>
      <c r="BF13" s="120" t="s">
        <v>321</v>
      </c>
      <c r="BG13" s="120" t="s">
        <v>322</v>
      </c>
      <c r="BH13" s="120" t="s">
        <v>323</v>
      </c>
      <c r="BI13" s="120" t="s">
        <v>324</v>
      </c>
      <c r="BJ13" s="120" t="s">
        <v>325</v>
      </c>
      <c r="BK13" s="120" t="s">
        <v>314</v>
      </c>
      <c r="BL13" s="120" t="s">
        <v>315</v>
      </c>
      <c r="BM13" s="120" t="s">
        <v>316</v>
      </c>
      <c r="BN13" s="120" t="s">
        <v>317</v>
      </c>
      <c r="BO13" s="120" t="s">
        <v>318</v>
      </c>
      <c r="BP13" s="120" t="s">
        <v>319</v>
      </c>
      <c r="BQ13" s="120" t="s">
        <v>320</v>
      </c>
      <c r="BR13" s="120" t="s">
        <v>321</v>
      </c>
      <c r="BS13" s="120" t="s">
        <v>322</v>
      </c>
      <c r="BT13" s="120" t="s">
        <v>323</v>
      </c>
      <c r="BU13" s="120" t="s">
        <v>324</v>
      </c>
      <c r="BV13" s="120" t="s">
        <v>325</v>
      </c>
      <c r="BW13" s="120" t="s">
        <v>314</v>
      </c>
      <c r="BX13" s="120" t="s">
        <v>315</v>
      </c>
      <c r="BY13" s="120" t="s">
        <v>316</v>
      </c>
      <c r="BZ13" s="120" t="s">
        <v>317</v>
      </c>
      <c r="CA13" s="120" t="s">
        <v>318</v>
      </c>
      <c r="CB13" s="120" t="s">
        <v>319</v>
      </c>
      <c r="CC13" s="120" t="s">
        <v>320</v>
      </c>
      <c r="CD13" s="120" t="s">
        <v>321</v>
      </c>
      <c r="CE13" s="120" t="s">
        <v>322</v>
      </c>
      <c r="CF13" s="120" t="s">
        <v>323</v>
      </c>
      <c r="CG13" s="120" t="s">
        <v>324</v>
      </c>
      <c r="CH13" s="120" t="s">
        <v>325</v>
      </c>
      <c r="CI13" s="120" t="s">
        <v>314</v>
      </c>
      <c r="CJ13" s="120" t="s">
        <v>315</v>
      </c>
      <c r="CK13" s="120" t="s">
        <v>316</v>
      </c>
      <c r="CL13" s="120" t="s">
        <v>317</v>
      </c>
      <c r="CM13" s="120" t="s">
        <v>318</v>
      </c>
      <c r="CN13" s="120" t="s">
        <v>319</v>
      </c>
      <c r="CO13" s="120" t="s">
        <v>320</v>
      </c>
      <c r="CP13" s="120" t="s">
        <v>321</v>
      </c>
      <c r="CQ13" s="120" t="s">
        <v>322</v>
      </c>
      <c r="CR13" s="120" t="s">
        <v>323</v>
      </c>
      <c r="CS13" s="120" t="s">
        <v>324</v>
      </c>
      <c r="CT13" s="120" t="s">
        <v>325</v>
      </c>
      <c r="CU13" s="120" t="s">
        <v>314</v>
      </c>
      <c r="CV13" s="120" t="s">
        <v>315</v>
      </c>
      <c r="CW13" s="120" t="s">
        <v>316</v>
      </c>
      <c r="CX13" s="120" t="s">
        <v>317</v>
      </c>
      <c r="CY13" s="120" t="s">
        <v>318</v>
      </c>
      <c r="CZ13" s="120" t="s">
        <v>319</v>
      </c>
      <c r="DA13" s="120" t="s">
        <v>320</v>
      </c>
      <c r="DB13" s="120" t="s">
        <v>321</v>
      </c>
      <c r="DC13" s="120" t="s">
        <v>322</v>
      </c>
      <c r="DD13" s="120" t="s">
        <v>323</v>
      </c>
      <c r="DE13" s="120" t="s">
        <v>324</v>
      </c>
      <c r="DF13" s="120" t="s">
        <v>325</v>
      </c>
      <c r="DG13" s="120" t="s">
        <v>314</v>
      </c>
      <c r="DH13" s="120" t="s">
        <v>315</v>
      </c>
      <c r="DI13" s="120" t="s">
        <v>316</v>
      </c>
      <c r="DJ13" s="120" t="s">
        <v>317</v>
      </c>
      <c r="DK13" s="120" t="s">
        <v>318</v>
      </c>
      <c r="DL13" s="120" t="s">
        <v>319</v>
      </c>
      <c r="DM13" s="120" t="s">
        <v>320</v>
      </c>
      <c r="DN13" s="120" t="s">
        <v>321</v>
      </c>
      <c r="DO13" s="120" t="s">
        <v>322</v>
      </c>
      <c r="DP13" s="120" t="s">
        <v>323</v>
      </c>
      <c r="DQ13" s="120" t="s">
        <v>324</v>
      </c>
      <c r="DR13" s="120" t="s">
        <v>325</v>
      </c>
      <c r="DS13" s="120" t="s">
        <v>314</v>
      </c>
      <c r="DT13" s="120" t="s">
        <v>315</v>
      </c>
      <c r="DU13" s="120" t="s">
        <v>316</v>
      </c>
      <c r="DV13" s="120" t="s">
        <v>317</v>
      </c>
      <c r="DW13" s="120" t="s">
        <v>318</v>
      </c>
      <c r="DX13" s="120" t="s">
        <v>319</v>
      </c>
      <c r="DY13" s="120" t="s">
        <v>320</v>
      </c>
      <c r="DZ13" s="120" t="s">
        <v>321</v>
      </c>
      <c r="EA13" s="120" t="s">
        <v>322</v>
      </c>
      <c r="EB13" s="120" t="s">
        <v>323</v>
      </c>
      <c r="EC13" s="120" t="s">
        <v>324</v>
      </c>
      <c r="ED13" s="120" t="s">
        <v>325</v>
      </c>
      <c r="EE13" s="120" t="s">
        <v>314</v>
      </c>
      <c r="EF13" s="120" t="s">
        <v>315</v>
      </c>
      <c r="EG13" s="120" t="s">
        <v>316</v>
      </c>
      <c r="EH13" s="120" t="s">
        <v>317</v>
      </c>
      <c r="EI13" s="120" t="s">
        <v>318</v>
      </c>
      <c r="EJ13" s="120" t="s">
        <v>319</v>
      </c>
      <c r="EK13" s="120" t="s">
        <v>320</v>
      </c>
      <c r="EL13" s="120" t="s">
        <v>321</v>
      </c>
      <c r="EM13" s="120" t="s">
        <v>322</v>
      </c>
      <c r="EN13" s="120" t="s">
        <v>323</v>
      </c>
      <c r="EO13" s="120" t="s">
        <v>324</v>
      </c>
      <c r="EP13" s="120" t="s">
        <v>325</v>
      </c>
      <c r="EQ13" s="120" t="s">
        <v>314</v>
      </c>
      <c r="ER13" s="120" t="s">
        <v>315</v>
      </c>
      <c r="ES13" s="120" t="s">
        <v>316</v>
      </c>
      <c r="ET13" s="120" t="s">
        <v>317</v>
      </c>
      <c r="EU13" s="120" t="s">
        <v>318</v>
      </c>
      <c r="EV13" s="120" t="s">
        <v>319</v>
      </c>
      <c r="EW13" s="120" t="s">
        <v>320</v>
      </c>
      <c r="EX13" s="120" t="s">
        <v>321</v>
      </c>
      <c r="EY13" s="120" t="s">
        <v>322</v>
      </c>
      <c r="EZ13" s="120" t="s">
        <v>323</v>
      </c>
      <c r="FA13" s="120" t="s">
        <v>324</v>
      </c>
      <c r="FB13" s="120" t="s">
        <v>325</v>
      </c>
      <c r="FC13" s="120" t="s">
        <v>314</v>
      </c>
      <c r="FD13" s="120" t="s">
        <v>315</v>
      </c>
      <c r="FE13" s="120" t="s">
        <v>316</v>
      </c>
      <c r="FF13" s="120" t="s">
        <v>317</v>
      </c>
      <c r="FG13" s="120" t="s">
        <v>318</v>
      </c>
      <c r="FH13" s="120" t="s">
        <v>319</v>
      </c>
      <c r="FI13" s="120" t="s">
        <v>320</v>
      </c>
      <c r="FJ13" s="120" t="s">
        <v>321</v>
      </c>
      <c r="FK13" s="120" t="s">
        <v>322</v>
      </c>
      <c r="FL13" s="120" t="s">
        <v>323</v>
      </c>
      <c r="FM13" s="120" t="s">
        <v>324</v>
      </c>
      <c r="FN13" s="120" t="s">
        <v>325</v>
      </c>
      <c r="FO13" s="120" t="s">
        <v>314</v>
      </c>
      <c r="FP13" s="120" t="s">
        <v>315</v>
      </c>
      <c r="FQ13" s="120" t="s">
        <v>316</v>
      </c>
      <c r="FR13" s="120" t="s">
        <v>317</v>
      </c>
      <c r="FS13" s="120" t="s">
        <v>318</v>
      </c>
      <c r="FT13" s="120" t="s">
        <v>319</v>
      </c>
      <c r="FU13" s="120" t="s">
        <v>320</v>
      </c>
      <c r="FV13" s="120" t="s">
        <v>321</v>
      </c>
      <c r="FW13" s="120" t="s">
        <v>322</v>
      </c>
      <c r="FX13" s="120" t="s">
        <v>323</v>
      </c>
    </row>
    <row r="14" spans="1:181">
      <c r="B14" s="112" t="s">
        <v>337</v>
      </c>
      <c r="J14" s="116" t="s">
        <v>363</v>
      </c>
      <c r="K14" s="117" t="s">
        <v>364</v>
      </c>
      <c r="L14" s="117" t="s">
        <v>365</v>
      </c>
      <c r="M14" s="117" t="s">
        <v>366</v>
      </c>
      <c r="N14" s="117" t="s">
        <v>367</v>
      </c>
      <c r="O14" s="117" t="s">
        <v>368</v>
      </c>
      <c r="P14" s="117" t="s">
        <v>368</v>
      </c>
      <c r="Q14" s="117" t="s">
        <v>368</v>
      </c>
      <c r="R14" s="117" t="s">
        <v>368</v>
      </c>
      <c r="S14" s="117" t="s">
        <v>368</v>
      </c>
      <c r="T14" s="117" t="s">
        <v>368</v>
      </c>
      <c r="U14" s="117" t="s">
        <v>368</v>
      </c>
      <c r="V14" s="117" t="s">
        <v>368</v>
      </c>
      <c r="W14" s="117" t="s">
        <v>368</v>
      </c>
      <c r="X14" s="117" t="s">
        <v>368</v>
      </c>
      <c r="Y14" s="117" t="s">
        <v>368</v>
      </c>
      <c r="Z14" s="117" t="s">
        <v>368</v>
      </c>
      <c r="AA14" s="117" t="s">
        <v>369</v>
      </c>
      <c r="AB14" s="117" t="s">
        <v>369</v>
      </c>
      <c r="AC14" s="117" t="s">
        <v>369</v>
      </c>
      <c r="AD14" s="117" t="s">
        <v>369</v>
      </c>
      <c r="AE14" s="117" t="s">
        <v>369</v>
      </c>
      <c r="AF14" s="117" t="s">
        <v>369</v>
      </c>
      <c r="AG14" s="117" t="s">
        <v>369</v>
      </c>
      <c r="AH14" s="117" t="s">
        <v>369</v>
      </c>
      <c r="AI14" s="117" t="s">
        <v>369</v>
      </c>
      <c r="AJ14" s="117" t="s">
        <v>369</v>
      </c>
      <c r="AK14" s="117" t="s">
        <v>369</v>
      </c>
      <c r="AL14" s="117" t="s">
        <v>369</v>
      </c>
      <c r="AM14" s="117" t="s">
        <v>370</v>
      </c>
      <c r="AN14" s="117" t="s">
        <v>370</v>
      </c>
      <c r="AO14" s="117" t="s">
        <v>370</v>
      </c>
      <c r="AP14" s="117" t="s">
        <v>370</v>
      </c>
      <c r="AQ14" s="117" t="s">
        <v>370</v>
      </c>
      <c r="AR14" s="117" t="s">
        <v>370</v>
      </c>
      <c r="AS14" s="117" t="s">
        <v>370</v>
      </c>
      <c r="AT14" s="117" t="s">
        <v>370</v>
      </c>
      <c r="AU14" s="117" t="s">
        <v>370</v>
      </c>
      <c r="AV14" s="117" t="s">
        <v>370</v>
      </c>
      <c r="AW14" s="117" t="s">
        <v>370</v>
      </c>
      <c r="AX14" s="117" t="s">
        <v>370</v>
      </c>
      <c r="AY14" s="117" t="s">
        <v>371</v>
      </c>
      <c r="AZ14" s="117" t="s">
        <v>371</v>
      </c>
      <c r="BA14" s="117" t="s">
        <v>371</v>
      </c>
      <c r="BB14" s="117" t="s">
        <v>371</v>
      </c>
      <c r="BC14" s="117" t="s">
        <v>371</v>
      </c>
      <c r="BD14" s="117" t="s">
        <v>371</v>
      </c>
      <c r="BE14" s="117" t="s">
        <v>371</v>
      </c>
      <c r="BF14" s="117" t="s">
        <v>371</v>
      </c>
      <c r="BG14" s="117" t="s">
        <v>371</v>
      </c>
      <c r="BH14" s="117" t="s">
        <v>371</v>
      </c>
      <c r="BI14" s="117" t="s">
        <v>371</v>
      </c>
      <c r="BJ14" s="117" t="s">
        <v>371</v>
      </c>
      <c r="BK14" s="117" t="s">
        <v>372</v>
      </c>
      <c r="BL14" s="117" t="s">
        <v>372</v>
      </c>
      <c r="BM14" s="117" t="s">
        <v>372</v>
      </c>
      <c r="BN14" s="117" t="s">
        <v>372</v>
      </c>
      <c r="BO14" s="117" t="s">
        <v>372</v>
      </c>
      <c r="BP14" s="117" t="s">
        <v>372</v>
      </c>
      <c r="BQ14" s="117" t="s">
        <v>372</v>
      </c>
      <c r="BR14" s="117" t="s">
        <v>372</v>
      </c>
      <c r="BS14" s="117" t="s">
        <v>372</v>
      </c>
      <c r="BT14" s="117" t="s">
        <v>372</v>
      </c>
      <c r="BU14" s="117" t="s">
        <v>372</v>
      </c>
      <c r="BV14" s="117" t="s">
        <v>372</v>
      </c>
      <c r="BW14" s="117" t="s">
        <v>373</v>
      </c>
      <c r="BX14" s="117" t="s">
        <v>373</v>
      </c>
      <c r="BY14" s="117" t="s">
        <v>373</v>
      </c>
      <c r="BZ14" s="117" t="s">
        <v>373</v>
      </c>
      <c r="CA14" s="117" t="s">
        <v>373</v>
      </c>
      <c r="CB14" s="117" t="s">
        <v>373</v>
      </c>
      <c r="CC14" s="117" t="s">
        <v>373</v>
      </c>
      <c r="CD14" s="117" t="s">
        <v>373</v>
      </c>
      <c r="CE14" s="117" t="s">
        <v>373</v>
      </c>
      <c r="CF14" s="117" t="s">
        <v>373</v>
      </c>
      <c r="CG14" s="117" t="s">
        <v>373</v>
      </c>
      <c r="CH14" s="117" t="s">
        <v>373</v>
      </c>
      <c r="CI14" s="117" t="s">
        <v>374</v>
      </c>
      <c r="CJ14" s="117" t="s">
        <v>374</v>
      </c>
      <c r="CK14" s="117" t="s">
        <v>374</v>
      </c>
      <c r="CL14" s="117" t="s">
        <v>374</v>
      </c>
      <c r="CM14" s="117" t="s">
        <v>374</v>
      </c>
      <c r="CN14" s="117" t="s">
        <v>374</v>
      </c>
      <c r="CO14" s="117" t="s">
        <v>374</v>
      </c>
      <c r="CP14" s="117" t="s">
        <v>374</v>
      </c>
      <c r="CQ14" s="117" t="s">
        <v>374</v>
      </c>
      <c r="CR14" s="117" t="s">
        <v>374</v>
      </c>
      <c r="CS14" s="117" t="s">
        <v>374</v>
      </c>
      <c r="CT14" s="117" t="s">
        <v>374</v>
      </c>
      <c r="CU14" s="117" t="s">
        <v>375</v>
      </c>
      <c r="CV14" s="117" t="s">
        <v>375</v>
      </c>
      <c r="CW14" s="117" t="s">
        <v>375</v>
      </c>
      <c r="CX14" s="117" t="s">
        <v>375</v>
      </c>
      <c r="CY14" s="117" t="s">
        <v>375</v>
      </c>
      <c r="CZ14" s="117" t="s">
        <v>375</v>
      </c>
      <c r="DA14" s="117" t="s">
        <v>375</v>
      </c>
      <c r="DB14" s="117" t="s">
        <v>375</v>
      </c>
      <c r="DC14" s="117" t="s">
        <v>375</v>
      </c>
      <c r="DD14" s="117" t="s">
        <v>375</v>
      </c>
      <c r="DE14" s="117" t="s">
        <v>375</v>
      </c>
      <c r="DF14" s="117" t="s">
        <v>375</v>
      </c>
      <c r="DG14" s="117" t="s">
        <v>376</v>
      </c>
      <c r="DH14" s="117" t="s">
        <v>376</v>
      </c>
      <c r="DI14" s="117" t="s">
        <v>376</v>
      </c>
      <c r="DJ14" s="117" t="s">
        <v>376</v>
      </c>
      <c r="DK14" s="117" t="s">
        <v>376</v>
      </c>
      <c r="DL14" s="117" t="s">
        <v>376</v>
      </c>
      <c r="DM14" s="117" t="s">
        <v>376</v>
      </c>
      <c r="DN14" s="117" t="s">
        <v>376</v>
      </c>
      <c r="DO14" s="117" t="s">
        <v>376</v>
      </c>
      <c r="DP14" s="117" t="s">
        <v>376</v>
      </c>
      <c r="DQ14" s="117" t="s">
        <v>376</v>
      </c>
      <c r="DR14" s="117" t="s">
        <v>376</v>
      </c>
      <c r="DS14" s="117" t="s">
        <v>377</v>
      </c>
      <c r="DT14" s="117" t="s">
        <v>377</v>
      </c>
      <c r="DU14" s="117" t="s">
        <v>377</v>
      </c>
      <c r="DV14" s="117" t="s">
        <v>377</v>
      </c>
      <c r="DW14" s="117" t="s">
        <v>377</v>
      </c>
      <c r="DX14" s="117" t="s">
        <v>377</v>
      </c>
      <c r="DY14" s="117" t="s">
        <v>377</v>
      </c>
      <c r="DZ14" s="117" t="s">
        <v>377</v>
      </c>
      <c r="EA14" s="117" t="s">
        <v>377</v>
      </c>
      <c r="EB14" s="117" t="s">
        <v>377</v>
      </c>
      <c r="EC14" s="117" t="s">
        <v>377</v>
      </c>
      <c r="ED14" s="117" t="s">
        <v>377</v>
      </c>
      <c r="EE14" s="117" t="s">
        <v>378</v>
      </c>
      <c r="EF14" s="117" t="s">
        <v>378</v>
      </c>
      <c r="EG14" s="117" t="s">
        <v>378</v>
      </c>
      <c r="EH14" s="117" t="s">
        <v>378</v>
      </c>
      <c r="EI14" s="117" t="s">
        <v>378</v>
      </c>
      <c r="EJ14" s="117" t="s">
        <v>378</v>
      </c>
      <c r="EK14" s="117" t="s">
        <v>378</v>
      </c>
      <c r="EL14" s="117" t="s">
        <v>378</v>
      </c>
      <c r="EM14" s="117" t="s">
        <v>378</v>
      </c>
      <c r="EN14" s="117" t="s">
        <v>378</v>
      </c>
      <c r="EO14" s="117" t="s">
        <v>378</v>
      </c>
      <c r="EP14" s="117" t="s">
        <v>378</v>
      </c>
      <c r="EQ14" s="117" t="s">
        <v>379</v>
      </c>
      <c r="ER14" s="117" t="s">
        <v>379</v>
      </c>
      <c r="ES14" s="117" t="s">
        <v>379</v>
      </c>
      <c r="ET14" s="117" t="s">
        <v>379</v>
      </c>
      <c r="EU14" s="117" t="s">
        <v>379</v>
      </c>
      <c r="EV14" s="117" t="s">
        <v>379</v>
      </c>
      <c r="EW14" s="117" t="s">
        <v>379</v>
      </c>
      <c r="EX14" s="117" t="s">
        <v>379</v>
      </c>
      <c r="EY14" s="117" t="s">
        <v>379</v>
      </c>
      <c r="EZ14" s="117" t="s">
        <v>379</v>
      </c>
      <c r="FA14" s="117" t="s">
        <v>379</v>
      </c>
      <c r="FB14" s="117" t="s">
        <v>379</v>
      </c>
      <c r="FC14" s="117" t="s">
        <v>380</v>
      </c>
      <c r="FD14" s="117" t="s">
        <v>380</v>
      </c>
      <c r="FE14" s="117" t="s">
        <v>380</v>
      </c>
      <c r="FF14" s="117" t="s">
        <v>380</v>
      </c>
      <c r="FG14" s="117" t="s">
        <v>380</v>
      </c>
      <c r="FH14" s="117" t="s">
        <v>380</v>
      </c>
      <c r="FI14" s="117" t="s">
        <v>380</v>
      </c>
      <c r="FJ14" s="117" t="s">
        <v>380</v>
      </c>
      <c r="FK14" s="117" t="s">
        <v>380</v>
      </c>
      <c r="FL14" s="117" t="s">
        <v>380</v>
      </c>
      <c r="FM14" s="117" t="s">
        <v>380</v>
      </c>
      <c r="FN14" s="117" t="s">
        <v>380</v>
      </c>
      <c r="FO14" s="117" t="s">
        <v>381</v>
      </c>
      <c r="FP14" s="117" t="s">
        <v>381</v>
      </c>
      <c r="FQ14" s="117" t="s">
        <v>381</v>
      </c>
      <c r="FR14" s="117" t="s">
        <v>381</v>
      </c>
      <c r="FS14" s="117" t="s">
        <v>381</v>
      </c>
      <c r="FT14" s="117" t="s">
        <v>381</v>
      </c>
      <c r="FU14" s="117" t="s">
        <v>381</v>
      </c>
      <c r="FV14" s="117" t="s">
        <v>381</v>
      </c>
      <c r="FW14" s="117" t="s">
        <v>381</v>
      </c>
      <c r="FX14" s="117" t="s">
        <v>381</v>
      </c>
    </row>
    <row r="15" spans="1:181">
      <c r="B15" s="112" t="s">
        <v>338</v>
      </c>
      <c r="J15" s="116" t="s">
        <v>362</v>
      </c>
      <c r="K15" s="117" t="s">
        <v>362</v>
      </c>
      <c r="L15" s="117" t="s">
        <v>362</v>
      </c>
      <c r="M15" s="117" t="s">
        <v>362</v>
      </c>
      <c r="N15" s="117" t="s">
        <v>362</v>
      </c>
      <c r="O15" s="117" t="s">
        <v>382</v>
      </c>
      <c r="P15" s="117" t="s">
        <v>382</v>
      </c>
      <c r="Q15" s="117" t="s">
        <v>382</v>
      </c>
      <c r="R15" s="117" t="s">
        <v>383</v>
      </c>
      <c r="S15" s="117" t="s">
        <v>383</v>
      </c>
      <c r="T15" s="117" t="s">
        <v>383</v>
      </c>
      <c r="U15" s="117" t="s">
        <v>384</v>
      </c>
      <c r="V15" s="117" t="s">
        <v>384</v>
      </c>
      <c r="W15" s="117" t="s">
        <v>384</v>
      </c>
      <c r="X15" s="117" t="s">
        <v>385</v>
      </c>
      <c r="Y15" s="117" t="s">
        <v>385</v>
      </c>
      <c r="Z15" s="117" t="s">
        <v>385</v>
      </c>
      <c r="AA15" s="117" t="s">
        <v>386</v>
      </c>
      <c r="AB15" s="117" t="s">
        <v>386</v>
      </c>
      <c r="AC15" s="117" t="s">
        <v>386</v>
      </c>
      <c r="AD15" s="117" t="s">
        <v>387</v>
      </c>
      <c r="AE15" s="117" t="s">
        <v>387</v>
      </c>
      <c r="AF15" s="117" t="s">
        <v>387</v>
      </c>
      <c r="AG15" s="117" t="s">
        <v>388</v>
      </c>
      <c r="AH15" s="117" t="s">
        <v>388</v>
      </c>
      <c r="AI15" s="117" t="s">
        <v>388</v>
      </c>
      <c r="AJ15" s="117" t="s">
        <v>389</v>
      </c>
      <c r="AK15" s="117" t="s">
        <v>389</v>
      </c>
      <c r="AL15" s="117" t="s">
        <v>389</v>
      </c>
      <c r="AM15" s="117" t="s">
        <v>390</v>
      </c>
      <c r="AN15" s="117" t="s">
        <v>390</v>
      </c>
      <c r="AO15" s="117" t="s">
        <v>390</v>
      </c>
      <c r="AP15" s="117" t="s">
        <v>391</v>
      </c>
      <c r="AQ15" s="117" t="s">
        <v>391</v>
      </c>
      <c r="AR15" s="117" t="s">
        <v>391</v>
      </c>
      <c r="AS15" s="117" t="s">
        <v>392</v>
      </c>
      <c r="AT15" s="117" t="s">
        <v>392</v>
      </c>
      <c r="AU15" s="117" t="s">
        <v>392</v>
      </c>
      <c r="AV15" s="117" t="s">
        <v>393</v>
      </c>
      <c r="AW15" s="117" t="s">
        <v>393</v>
      </c>
      <c r="AX15" s="117" t="s">
        <v>393</v>
      </c>
      <c r="AY15" s="117" t="s">
        <v>394</v>
      </c>
      <c r="AZ15" s="117" t="s">
        <v>394</v>
      </c>
      <c r="BA15" s="117" t="s">
        <v>394</v>
      </c>
      <c r="BB15" s="117" t="s">
        <v>395</v>
      </c>
      <c r="BC15" s="117" t="s">
        <v>395</v>
      </c>
      <c r="BD15" s="117" t="s">
        <v>395</v>
      </c>
      <c r="BE15" s="117" t="s">
        <v>396</v>
      </c>
      <c r="BF15" s="117" t="s">
        <v>396</v>
      </c>
      <c r="BG15" s="117" t="s">
        <v>396</v>
      </c>
      <c r="BH15" s="117" t="s">
        <v>397</v>
      </c>
      <c r="BI15" s="117" t="s">
        <v>397</v>
      </c>
      <c r="BJ15" s="117" t="s">
        <v>397</v>
      </c>
      <c r="BK15" s="117" t="s">
        <v>398</v>
      </c>
      <c r="BL15" s="117" t="s">
        <v>398</v>
      </c>
      <c r="BM15" s="117" t="s">
        <v>398</v>
      </c>
      <c r="BN15" s="117" t="s">
        <v>399</v>
      </c>
      <c r="BO15" s="117" t="s">
        <v>399</v>
      </c>
      <c r="BP15" s="117" t="s">
        <v>399</v>
      </c>
      <c r="BQ15" s="117" t="s">
        <v>400</v>
      </c>
      <c r="BR15" s="117" t="s">
        <v>400</v>
      </c>
      <c r="BS15" s="117" t="s">
        <v>400</v>
      </c>
      <c r="BT15" s="117" t="s">
        <v>401</v>
      </c>
      <c r="BU15" s="117" t="s">
        <v>401</v>
      </c>
      <c r="BV15" s="117" t="s">
        <v>401</v>
      </c>
      <c r="BW15" s="117" t="s">
        <v>402</v>
      </c>
      <c r="BX15" s="117" t="s">
        <v>402</v>
      </c>
      <c r="BY15" s="117" t="s">
        <v>402</v>
      </c>
      <c r="BZ15" s="117" t="s">
        <v>403</v>
      </c>
      <c r="CA15" s="117" t="s">
        <v>403</v>
      </c>
      <c r="CB15" s="117" t="s">
        <v>403</v>
      </c>
      <c r="CC15" s="117" t="s">
        <v>404</v>
      </c>
      <c r="CD15" s="117" t="s">
        <v>404</v>
      </c>
      <c r="CE15" s="117" t="s">
        <v>404</v>
      </c>
      <c r="CF15" s="117" t="s">
        <v>405</v>
      </c>
      <c r="CG15" s="117" t="s">
        <v>405</v>
      </c>
      <c r="CH15" s="117" t="s">
        <v>405</v>
      </c>
      <c r="CI15" s="117" t="s">
        <v>406</v>
      </c>
      <c r="CJ15" s="117" t="s">
        <v>406</v>
      </c>
      <c r="CK15" s="117" t="s">
        <v>406</v>
      </c>
      <c r="CL15" s="117" t="s">
        <v>407</v>
      </c>
      <c r="CM15" s="117" t="s">
        <v>407</v>
      </c>
      <c r="CN15" s="117" t="s">
        <v>407</v>
      </c>
      <c r="CO15" s="117" t="s">
        <v>408</v>
      </c>
      <c r="CP15" s="117" t="s">
        <v>408</v>
      </c>
      <c r="CQ15" s="117" t="s">
        <v>408</v>
      </c>
      <c r="CR15" s="117" t="s">
        <v>409</v>
      </c>
      <c r="CS15" s="117" t="s">
        <v>409</v>
      </c>
      <c r="CT15" s="117" t="s">
        <v>409</v>
      </c>
      <c r="CU15" s="117" t="s">
        <v>410</v>
      </c>
      <c r="CV15" s="117" t="s">
        <v>410</v>
      </c>
      <c r="CW15" s="117" t="s">
        <v>410</v>
      </c>
      <c r="CX15" s="117" t="s">
        <v>411</v>
      </c>
      <c r="CY15" s="117" t="s">
        <v>411</v>
      </c>
      <c r="CZ15" s="117" t="s">
        <v>411</v>
      </c>
      <c r="DA15" s="117" t="s">
        <v>412</v>
      </c>
      <c r="DB15" s="117" t="s">
        <v>412</v>
      </c>
      <c r="DC15" s="117" t="s">
        <v>412</v>
      </c>
      <c r="DD15" s="117" t="s">
        <v>413</v>
      </c>
      <c r="DE15" s="117" t="s">
        <v>413</v>
      </c>
      <c r="DF15" s="117" t="s">
        <v>413</v>
      </c>
      <c r="DG15" s="117" t="s">
        <v>414</v>
      </c>
      <c r="DH15" s="117" t="s">
        <v>414</v>
      </c>
      <c r="DI15" s="117" t="s">
        <v>414</v>
      </c>
      <c r="DJ15" s="117" t="s">
        <v>415</v>
      </c>
      <c r="DK15" s="117" t="s">
        <v>415</v>
      </c>
      <c r="DL15" s="117" t="s">
        <v>415</v>
      </c>
      <c r="DM15" s="117" t="s">
        <v>416</v>
      </c>
      <c r="DN15" s="117" t="s">
        <v>416</v>
      </c>
      <c r="DO15" s="117" t="s">
        <v>416</v>
      </c>
      <c r="DP15" s="117" t="s">
        <v>417</v>
      </c>
      <c r="DQ15" s="117" t="s">
        <v>417</v>
      </c>
      <c r="DR15" s="117" t="s">
        <v>417</v>
      </c>
      <c r="DS15" s="117" t="s">
        <v>418</v>
      </c>
      <c r="DT15" s="117" t="s">
        <v>418</v>
      </c>
      <c r="DU15" s="117" t="s">
        <v>418</v>
      </c>
      <c r="DV15" s="117" t="s">
        <v>419</v>
      </c>
      <c r="DW15" s="117" t="s">
        <v>419</v>
      </c>
      <c r="DX15" s="117" t="s">
        <v>419</v>
      </c>
      <c r="DY15" s="117" t="s">
        <v>420</v>
      </c>
      <c r="DZ15" s="117" t="s">
        <v>420</v>
      </c>
      <c r="EA15" s="117" t="s">
        <v>420</v>
      </c>
      <c r="EB15" s="117" t="s">
        <v>421</v>
      </c>
      <c r="EC15" s="117" t="s">
        <v>421</v>
      </c>
      <c r="ED15" s="117" t="s">
        <v>421</v>
      </c>
      <c r="EE15" s="117" t="s">
        <v>422</v>
      </c>
      <c r="EF15" s="117" t="s">
        <v>422</v>
      </c>
      <c r="EG15" s="117" t="s">
        <v>422</v>
      </c>
      <c r="EH15" s="117" t="s">
        <v>423</v>
      </c>
      <c r="EI15" s="117" t="s">
        <v>423</v>
      </c>
      <c r="EJ15" s="117" t="s">
        <v>423</v>
      </c>
      <c r="EK15" s="117" t="s">
        <v>424</v>
      </c>
      <c r="EL15" s="117" t="s">
        <v>424</v>
      </c>
      <c r="EM15" s="117" t="s">
        <v>424</v>
      </c>
      <c r="EN15" s="117" t="s">
        <v>425</v>
      </c>
      <c r="EO15" s="117" t="s">
        <v>425</v>
      </c>
      <c r="EP15" s="117" t="s">
        <v>425</v>
      </c>
      <c r="EQ15" s="117" t="s">
        <v>426</v>
      </c>
      <c r="ER15" s="117" t="s">
        <v>426</v>
      </c>
      <c r="ES15" s="117" t="s">
        <v>426</v>
      </c>
      <c r="ET15" s="117" t="s">
        <v>427</v>
      </c>
      <c r="EU15" s="117" t="s">
        <v>427</v>
      </c>
      <c r="EV15" s="117" t="s">
        <v>427</v>
      </c>
      <c r="EW15" s="117" t="s">
        <v>428</v>
      </c>
      <c r="EX15" s="117" t="s">
        <v>428</v>
      </c>
      <c r="EY15" s="117" t="s">
        <v>428</v>
      </c>
      <c r="EZ15" s="117" t="s">
        <v>429</v>
      </c>
      <c r="FA15" s="117" t="s">
        <v>429</v>
      </c>
      <c r="FB15" s="117" t="s">
        <v>429</v>
      </c>
      <c r="FC15" s="117" t="s">
        <v>430</v>
      </c>
      <c r="FD15" s="117" t="s">
        <v>430</v>
      </c>
      <c r="FE15" s="117" t="s">
        <v>430</v>
      </c>
      <c r="FF15" s="117" t="s">
        <v>431</v>
      </c>
      <c r="FG15" s="117" t="s">
        <v>431</v>
      </c>
      <c r="FH15" s="117" t="s">
        <v>431</v>
      </c>
      <c r="FI15" s="117" t="s">
        <v>432</v>
      </c>
      <c r="FJ15" s="117" t="s">
        <v>432</v>
      </c>
      <c r="FK15" s="117" t="s">
        <v>432</v>
      </c>
      <c r="FL15" s="117" t="s">
        <v>433</v>
      </c>
      <c r="FM15" s="117" t="s">
        <v>433</v>
      </c>
      <c r="FN15" s="117" t="s">
        <v>433</v>
      </c>
      <c r="FO15" s="117" t="s">
        <v>434</v>
      </c>
      <c r="FP15" s="117" t="s">
        <v>434</v>
      </c>
      <c r="FQ15" s="117" t="s">
        <v>434</v>
      </c>
      <c r="FR15" s="117" t="s">
        <v>435</v>
      </c>
      <c r="FS15" s="117" t="s">
        <v>435</v>
      </c>
      <c r="FT15" s="117" t="s">
        <v>435</v>
      </c>
      <c r="FU15" s="117" t="s">
        <v>436</v>
      </c>
      <c r="FV15" s="117" t="s">
        <v>436</v>
      </c>
      <c r="FW15" s="117" t="s">
        <v>436</v>
      </c>
      <c r="FX15" s="117" t="s">
        <v>437</v>
      </c>
    </row>
    <row r="16" spans="1:181">
      <c r="B16" s="112" t="s">
        <v>339</v>
      </c>
      <c r="J16" s="116">
        <v>1</v>
      </c>
      <c r="K16" s="117">
        <v>1</v>
      </c>
      <c r="L16" s="117">
        <v>1</v>
      </c>
      <c r="M16" s="117">
        <v>1</v>
      </c>
      <c r="N16" s="117">
        <v>1</v>
      </c>
      <c r="O16" s="117">
        <v>1</v>
      </c>
      <c r="P16" s="117">
        <v>1</v>
      </c>
      <c r="Q16" s="117">
        <v>1</v>
      </c>
      <c r="R16" s="117">
        <v>1</v>
      </c>
      <c r="S16" s="117">
        <v>1</v>
      </c>
      <c r="T16" s="117">
        <v>1</v>
      </c>
      <c r="U16" s="117">
        <v>1</v>
      </c>
      <c r="V16" s="117">
        <v>1</v>
      </c>
      <c r="W16" s="117">
        <v>1</v>
      </c>
      <c r="X16" s="117">
        <v>1</v>
      </c>
      <c r="Y16" s="117">
        <v>1</v>
      </c>
      <c r="Z16" s="117">
        <v>1</v>
      </c>
      <c r="AA16" s="117">
        <v>1</v>
      </c>
      <c r="AB16" s="117">
        <v>1</v>
      </c>
      <c r="AC16" s="117">
        <v>1</v>
      </c>
      <c r="AD16" s="117">
        <v>1</v>
      </c>
      <c r="AE16" s="117">
        <v>1</v>
      </c>
      <c r="AF16" s="117">
        <v>1</v>
      </c>
      <c r="AG16" s="117">
        <v>1</v>
      </c>
      <c r="AH16" s="117">
        <v>1</v>
      </c>
      <c r="AI16" s="117">
        <v>1</v>
      </c>
      <c r="AJ16" s="117">
        <v>1</v>
      </c>
      <c r="AK16" s="117">
        <v>1</v>
      </c>
      <c r="AL16" s="117">
        <v>1</v>
      </c>
      <c r="AM16" s="117">
        <v>1</v>
      </c>
      <c r="AN16" s="117">
        <v>1</v>
      </c>
      <c r="AO16" s="117">
        <v>1</v>
      </c>
      <c r="AP16" s="117">
        <v>1</v>
      </c>
      <c r="AQ16" s="117">
        <v>1</v>
      </c>
      <c r="AR16" s="117">
        <v>1</v>
      </c>
      <c r="AS16" s="117">
        <v>1</v>
      </c>
      <c r="AT16" s="117">
        <v>1</v>
      </c>
      <c r="AU16" s="117">
        <v>1</v>
      </c>
      <c r="AV16" s="117">
        <v>1</v>
      </c>
      <c r="AW16" s="117">
        <v>1</v>
      </c>
      <c r="AX16" s="117">
        <v>1</v>
      </c>
      <c r="AY16" s="117">
        <v>1</v>
      </c>
      <c r="AZ16" s="117">
        <v>1</v>
      </c>
      <c r="BA16" s="117">
        <v>1</v>
      </c>
      <c r="BB16" s="117">
        <v>1</v>
      </c>
      <c r="BC16" s="117">
        <v>1</v>
      </c>
      <c r="BD16" s="117">
        <v>1</v>
      </c>
      <c r="BE16" s="117">
        <v>1</v>
      </c>
      <c r="BF16" s="117">
        <v>1</v>
      </c>
      <c r="BG16" s="117">
        <v>1</v>
      </c>
      <c r="BH16" s="117">
        <v>1</v>
      </c>
      <c r="BI16" s="117">
        <v>1</v>
      </c>
      <c r="BJ16" s="117">
        <v>1</v>
      </c>
      <c r="BK16" s="117">
        <v>1</v>
      </c>
      <c r="BL16" s="117">
        <v>1</v>
      </c>
      <c r="BM16" s="117">
        <v>1</v>
      </c>
      <c r="BN16" s="117">
        <v>1</v>
      </c>
      <c r="BO16" s="117">
        <v>1</v>
      </c>
      <c r="BP16" s="117">
        <v>1</v>
      </c>
      <c r="BQ16" s="117">
        <v>1</v>
      </c>
      <c r="BR16" s="117">
        <v>1</v>
      </c>
      <c r="BS16" s="117">
        <v>1</v>
      </c>
      <c r="BT16" s="117">
        <v>1</v>
      </c>
      <c r="BU16" s="117">
        <v>1</v>
      </c>
      <c r="BV16" s="117">
        <v>1</v>
      </c>
      <c r="BW16" s="117">
        <v>1</v>
      </c>
      <c r="BX16" s="117">
        <v>1</v>
      </c>
      <c r="BY16" s="117">
        <v>1</v>
      </c>
      <c r="BZ16" s="117">
        <v>1</v>
      </c>
      <c r="CA16" s="117">
        <v>1</v>
      </c>
      <c r="CB16" s="117">
        <v>1</v>
      </c>
      <c r="CC16" s="117">
        <v>1</v>
      </c>
      <c r="CD16" s="117">
        <v>1</v>
      </c>
      <c r="CE16" s="117">
        <v>1</v>
      </c>
      <c r="CF16" s="117">
        <v>1</v>
      </c>
      <c r="CG16" s="117">
        <v>1</v>
      </c>
      <c r="CH16" s="117">
        <v>1</v>
      </c>
      <c r="CI16" s="117">
        <v>1</v>
      </c>
      <c r="CJ16" s="117">
        <v>1</v>
      </c>
      <c r="CK16" s="117">
        <v>1</v>
      </c>
      <c r="CL16" s="117">
        <v>1</v>
      </c>
      <c r="CM16" s="117">
        <v>1</v>
      </c>
      <c r="CN16" s="117">
        <v>1</v>
      </c>
      <c r="CO16" s="117">
        <v>1</v>
      </c>
      <c r="CP16" s="117">
        <v>1</v>
      </c>
      <c r="CQ16" s="117">
        <v>1</v>
      </c>
      <c r="CR16" s="117">
        <v>1</v>
      </c>
      <c r="CS16" s="117">
        <v>1</v>
      </c>
      <c r="CT16" s="117">
        <v>1</v>
      </c>
      <c r="CU16" s="117">
        <v>1</v>
      </c>
      <c r="CV16" s="117">
        <v>1</v>
      </c>
      <c r="CW16" s="117">
        <v>1</v>
      </c>
      <c r="CX16" s="117">
        <v>1</v>
      </c>
      <c r="CY16" s="117">
        <v>1</v>
      </c>
      <c r="CZ16" s="117">
        <v>1</v>
      </c>
      <c r="DA16" s="117">
        <v>1</v>
      </c>
      <c r="DB16" s="117">
        <v>1</v>
      </c>
      <c r="DC16" s="117">
        <v>1</v>
      </c>
      <c r="DD16" s="117">
        <v>1</v>
      </c>
      <c r="DE16" s="117">
        <v>1</v>
      </c>
      <c r="DF16" s="117">
        <v>1</v>
      </c>
      <c r="DG16" s="117">
        <v>1</v>
      </c>
      <c r="DH16" s="117">
        <v>1</v>
      </c>
      <c r="DI16" s="117">
        <v>1</v>
      </c>
      <c r="DJ16" s="117">
        <v>1</v>
      </c>
      <c r="DK16" s="117">
        <v>1</v>
      </c>
      <c r="DL16" s="117">
        <v>1</v>
      </c>
      <c r="DM16" s="117">
        <v>1</v>
      </c>
      <c r="DN16" s="117">
        <v>1</v>
      </c>
      <c r="DO16" s="117">
        <v>1</v>
      </c>
      <c r="DP16" s="117">
        <v>1</v>
      </c>
      <c r="DQ16" s="117">
        <v>1</v>
      </c>
      <c r="DR16" s="117">
        <v>1</v>
      </c>
      <c r="DS16" s="117">
        <v>1</v>
      </c>
      <c r="DT16" s="117">
        <v>1</v>
      </c>
      <c r="DU16" s="117">
        <v>1</v>
      </c>
      <c r="DV16" s="117">
        <v>1</v>
      </c>
      <c r="DW16" s="117">
        <v>1</v>
      </c>
      <c r="DX16" s="117">
        <v>1</v>
      </c>
      <c r="DY16" s="117">
        <v>1</v>
      </c>
      <c r="DZ16" s="117">
        <v>1</v>
      </c>
      <c r="EA16" s="117">
        <v>1</v>
      </c>
      <c r="EB16" s="117">
        <v>1</v>
      </c>
      <c r="EC16" s="117">
        <v>1</v>
      </c>
      <c r="ED16" s="117">
        <v>1</v>
      </c>
      <c r="EE16" s="117">
        <v>1</v>
      </c>
      <c r="EF16" s="117">
        <v>1</v>
      </c>
      <c r="EG16" s="117">
        <v>1</v>
      </c>
      <c r="EH16" s="117">
        <v>1</v>
      </c>
      <c r="EI16" s="117">
        <v>1</v>
      </c>
      <c r="EJ16" s="117">
        <v>1</v>
      </c>
      <c r="EK16" s="117">
        <v>1</v>
      </c>
      <c r="EL16" s="117">
        <v>1</v>
      </c>
      <c r="EM16" s="117">
        <v>1</v>
      </c>
      <c r="EN16" s="117">
        <v>1</v>
      </c>
      <c r="EO16" s="117">
        <v>1</v>
      </c>
      <c r="EP16" s="117">
        <v>1</v>
      </c>
      <c r="EQ16" s="117">
        <v>1</v>
      </c>
      <c r="ER16" s="117">
        <v>1</v>
      </c>
      <c r="ES16" s="117">
        <v>1</v>
      </c>
      <c r="ET16" s="117">
        <v>1</v>
      </c>
      <c r="EU16" s="117">
        <v>1</v>
      </c>
      <c r="EV16" s="117">
        <v>1</v>
      </c>
      <c r="EW16" s="117">
        <v>1</v>
      </c>
      <c r="EX16" s="117">
        <v>1</v>
      </c>
      <c r="EY16" s="117">
        <v>1</v>
      </c>
      <c r="EZ16" s="117">
        <v>1</v>
      </c>
      <c r="FA16" s="117">
        <v>1</v>
      </c>
      <c r="FB16" s="117">
        <v>1</v>
      </c>
      <c r="FC16" s="117">
        <v>0</v>
      </c>
      <c r="FD16" s="117">
        <v>0</v>
      </c>
      <c r="FE16" s="117">
        <v>0</v>
      </c>
      <c r="FF16" s="117">
        <v>0</v>
      </c>
      <c r="FG16" s="117">
        <v>0</v>
      </c>
      <c r="FH16" s="117">
        <v>0</v>
      </c>
      <c r="FI16" s="117">
        <v>0</v>
      </c>
      <c r="FJ16" s="117">
        <v>0</v>
      </c>
      <c r="FK16" s="117">
        <v>0</v>
      </c>
      <c r="FL16" s="117">
        <v>0</v>
      </c>
      <c r="FM16" s="117">
        <v>0</v>
      </c>
      <c r="FN16" s="117">
        <v>0</v>
      </c>
      <c r="FO16" s="117">
        <v>0</v>
      </c>
      <c r="FP16" s="117">
        <v>0</v>
      </c>
      <c r="FQ16" s="117">
        <v>0</v>
      </c>
      <c r="FR16" s="117">
        <v>0</v>
      </c>
      <c r="FS16" s="117">
        <v>0</v>
      </c>
      <c r="FT16" s="117">
        <v>0</v>
      </c>
      <c r="FU16" s="117">
        <v>0</v>
      </c>
      <c r="FV16" s="117">
        <v>0</v>
      </c>
      <c r="FW16" s="117">
        <v>0</v>
      </c>
      <c r="FX16" s="117">
        <v>0</v>
      </c>
    </row>
    <row r="17" spans="1:181">
      <c r="B17" s="112" t="s">
        <v>340</v>
      </c>
      <c r="J17" s="116">
        <v>149</v>
      </c>
      <c r="K17" s="116">
        <v>148</v>
      </c>
      <c r="L17" s="117">
        <v>147</v>
      </c>
      <c r="M17" s="117">
        <v>146</v>
      </c>
      <c r="N17" s="117">
        <v>145</v>
      </c>
      <c r="O17" s="117">
        <v>144</v>
      </c>
      <c r="P17" s="117">
        <v>143</v>
      </c>
      <c r="Q17" s="117">
        <v>142</v>
      </c>
      <c r="R17" s="117">
        <v>141</v>
      </c>
      <c r="S17" s="117">
        <v>140</v>
      </c>
      <c r="T17" s="117">
        <v>139</v>
      </c>
      <c r="U17" s="117">
        <v>138</v>
      </c>
      <c r="V17" s="117">
        <v>137</v>
      </c>
      <c r="W17" s="117">
        <v>136</v>
      </c>
      <c r="X17" s="117">
        <v>135</v>
      </c>
      <c r="Y17" s="117">
        <v>134</v>
      </c>
      <c r="Z17" s="117">
        <v>133</v>
      </c>
      <c r="AA17" s="117">
        <v>132</v>
      </c>
      <c r="AB17" s="117">
        <v>131</v>
      </c>
      <c r="AC17" s="117">
        <v>130</v>
      </c>
      <c r="AD17" s="117">
        <v>129</v>
      </c>
      <c r="AE17" s="117">
        <v>128</v>
      </c>
      <c r="AF17" s="117">
        <v>127</v>
      </c>
      <c r="AG17" s="117">
        <v>126</v>
      </c>
      <c r="AH17" s="117">
        <v>125</v>
      </c>
      <c r="AI17" s="117">
        <v>124</v>
      </c>
      <c r="AJ17" s="117">
        <v>123</v>
      </c>
      <c r="AK17" s="117">
        <v>122</v>
      </c>
      <c r="AL17" s="117">
        <v>121</v>
      </c>
      <c r="AM17" s="117">
        <v>120</v>
      </c>
      <c r="AN17" s="117">
        <v>119</v>
      </c>
      <c r="AO17" s="117">
        <v>118</v>
      </c>
      <c r="AP17" s="117">
        <v>117</v>
      </c>
      <c r="AQ17" s="117">
        <v>116</v>
      </c>
      <c r="AR17" s="117">
        <v>115</v>
      </c>
      <c r="AS17" s="117">
        <v>114</v>
      </c>
      <c r="AT17" s="117">
        <v>113</v>
      </c>
      <c r="AU17" s="117">
        <v>112</v>
      </c>
      <c r="AV17" s="117">
        <v>111</v>
      </c>
      <c r="AW17" s="117">
        <v>110</v>
      </c>
      <c r="AX17" s="117">
        <v>109</v>
      </c>
      <c r="AY17" s="117">
        <v>108</v>
      </c>
      <c r="AZ17" s="117">
        <v>107</v>
      </c>
      <c r="BA17" s="117">
        <v>106</v>
      </c>
      <c r="BB17" s="117">
        <v>105</v>
      </c>
      <c r="BC17" s="117">
        <v>104</v>
      </c>
      <c r="BD17" s="117">
        <v>103</v>
      </c>
      <c r="BE17" s="117">
        <v>102</v>
      </c>
      <c r="BF17" s="117">
        <v>101</v>
      </c>
      <c r="BG17" s="117">
        <v>100</v>
      </c>
      <c r="BH17" s="117">
        <v>99</v>
      </c>
      <c r="BI17" s="117">
        <v>98</v>
      </c>
      <c r="BJ17" s="117">
        <v>97</v>
      </c>
      <c r="BK17" s="117">
        <v>96</v>
      </c>
      <c r="BL17" s="117">
        <v>95</v>
      </c>
      <c r="BM17" s="117">
        <v>94</v>
      </c>
      <c r="BN17" s="117">
        <v>93</v>
      </c>
      <c r="BO17" s="117">
        <v>92</v>
      </c>
      <c r="BP17" s="117">
        <v>91</v>
      </c>
      <c r="BQ17" s="117">
        <v>90</v>
      </c>
      <c r="BR17" s="117">
        <v>89</v>
      </c>
      <c r="BS17" s="117">
        <v>88</v>
      </c>
      <c r="BT17" s="117">
        <v>87</v>
      </c>
      <c r="BU17" s="117">
        <v>86</v>
      </c>
      <c r="BV17" s="117">
        <v>85</v>
      </c>
      <c r="BW17" s="117">
        <v>84</v>
      </c>
      <c r="BX17" s="117">
        <v>83</v>
      </c>
      <c r="BY17" s="117">
        <v>82</v>
      </c>
      <c r="BZ17" s="117">
        <v>81</v>
      </c>
      <c r="CA17" s="117">
        <v>80</v>
      </c>
      <c r="CB17" s="117">
        <v>79</v>
      </c>
      <c r="CC17" s="117">
        <v>78</v>
      </c>
      <c r="CD17" s="117">
        <v>77</v>
      </c>
      <c r="CE17" s="117">
        <v>76</v>
      </c>
      <c r="CF17" s="117">
        <v>75</v>
      </c>
      <c r="CG17" s="117">
        <v>74</v>
      </c>
      <c r="CH17" s="117">
        <v>73</v>
      </c>
      <c r="CI17" s="117">
        <v>72</v>
      </c>
      <c r="CJ17" s="117">
        <v>71</v>
      </c>
      <c r="CK17" s="117">
        <v>70</v>
      </c>
      <c r="CL17" s="117">
        <v>69</v>
      </c>
      <c r="CM17" s="117">
        <v>68</v>
      </c>
      <c r="CN17" s="117">
        <v>67</v>
      </c>
      <c r="CO17" s="117">
        <v>66</v>
      </c>
      <c r="CP17" s="117">
        <v>65</v>
      </c>
      <c r="CQ17" s="117">
        <v>64</v>
      </c>
      <c r="CR17" s="117">
        <v>63</v>
      </c>
      <c r="CS17" s="117">
        <v>62</v>
      </c>
      <c r="CT17" s="117">
        <v>61</v>
      </c>
      <c r="CU17" s="117">
        <v>60</v>
      </c>
      <c r="CV17" s="117">
        <v>59</v>
      </c>
      <c r="CW17" s="117">
        <v>58</v>
      </c>
      <c r="CX17" s="117">
        <v>57</v>
      </c>
      <c r="CY17" s="117">
        <v>56</v>
      </c>
      <c r="CZ17" s="117">
        <v>55</v>
      </c>
      <c r="DA17" s="117">
        <v>54</v>
      </c>
      <c r="DB17" s="117">
        <v>53</v>
      </c>
      <c r="DC17" s="117">
        <v>52</v>
      </c>
      <c r="DD17" s="117">
        <v>51</v>
      </c>
      <c r="DE17" s="117">
        <v>50</v>
      </c>
      <c r="DF17" s="117">
        <v>49</v>
      </c>
      <c r="DG17" s="117">
        <v>48</v>
      </c>
      <c r="DH17" s="117">
        <v>47</v>
      </c>
      <c r="DI17" s="117">
        <v>46</v>
      </c>
      <c r="DJ17" s="117">
        <v>45</v>
      </c>
      <c r="DK17" s="117">
        <v>44</v>
      </c>
      <c r="DL17" s="117">
        <v>43</v>
      </c>
      <c r="DM17" s="117">
        <v>42</v>
      </c>
      <c r="DN17" s="117">
        <v>41</v>
      </c>
      <c r="DO17" s="117">
        <v>40</v>
      </c>
      <c r="DP17" s="117">
        <v>39</v>
      </c>
      <c r="DQ17" s="117">
        <v>38</v>
      </c>
      <c r="DR17" s="117">
        <v>37</v>
      </c>
      <c r="DS17" s="117">
        <v>36</v>
      </c>
      <c r="DT17" s="117">
        <v>35</v>
      </c>
      <c r="DU17" s="117">
        <v>34</v>
      </c>
      <c r="DV17" s="117">
        <v>33</v>
      </c>
      <c r="DW17" s="117">
        <v>32</v>
      </c>
      <c r="DX17" s="117">
        <v>31</v>
      </c>
      <c r="DY17" s="117">
        <v>30</v>
      </c>
      <c r="DZ17" s="117">
        <v>29</v>
      </c>
      <c r="EA17" s="117">
        <v>28</v>
      </c>
      <c r="EB17" s="117">
        <v>27</v>
      </c>
      <c r="EC17" s="117">
        <v>26</v>
      </c>
      <c r="ED17" s="117">
        <v>25</v>
      </c>
      <c r="EE17" s="117">
        <v>24</v>
      </c>
      <c r="EF17" s="117">
        <v>23</v>
      </c>
      <c r="EG17" s="117">
        <v>22</v>
      </c>
      <c r="EH17" s="117">
        <v>21</v>
      </c>
      <c r="EI17" s="117">
        <v>20</v>
      </c>
      <c r="EJ17" s="117">
        <v>19</v>
      </c>
      <c r="EK17" s="117">
        <v>18</v>
      </c>
      <c r="EL17" s="117">
        <v>17</v>
      </c>
      <c r="EM17" s="117">
        <v>16</v>
      </c>
      <c r="EN17" s="117">
        <v>15</v>
      </c>
      <c r="EO17" s="117">
        <v>14</v>
      </c>
      <c r="EP17" s="117">
        <v>13</v>
      </c>
      <c r="EQ17" s="117">
        <v>12</v>
      </c>
      <c r="ER17" s="117">
        <v>11</v>
      </c>
      <c r="ES17" s="117">
        <v>10</v>
      </c>
      <c r="ET17" s="117">
        <v>9</v>
      </c>
      <c r="EU17" s="117">
        <v>8</v>
      </c>
      <c r="EV17" s="117">
        <v>7</v>
      </c>
      <c r="EW17" s="117">
        <v>6</v>
      </c>
      <c r="EX17" s="117">
        <v>5</v>
      </c>
      <c r="EY17" s="117">
        <v>4</v>
      </c>
      <c r="EZ17" s="117">
        <v>3</v>
      </c>
      <c r="FA17" s="117">
        <v>2</v>
      </c>
      <c r="FB17" s="117">
        <v>1</v>
      </c>
      <c r="FC17" s="117">
        <v>0</v>
      </c>
      <c r="FD17" s="117">
        <v>0</v>
      </c>
      <c r="FE17" s="117">
        <v>0</v>
      </c>
      <c r="FF17" s="117">
        <v>0</v>
      </c>
      <c r="FG17" s="117">
        <v>0</v>
      </c>
      <c r="FH17" s="117">
        <v>0</v>
      </c>
      <c r="FI17" s="117">
        <v>0</v>
      </c>
      <c r="FJ17" s="117">
        <v>0</v>
      </c>
      <c r="FK17" s="117">
        <v>0</v>
      </c>
      <c r="FL17" s="117">
        <v>0</v>
      </c>
      <c r="FM17" s="117">
        <v>0</v>
      </c>
      <c r="FN17" s="117">
        <v>0</v>
      </c>
      <c r="FO17" s="117">
        <v>0</v>
      </c>
      <c r="FP17" s="117">
        <v>0</v>
      </c>
      <c r="FQ17" s="117">
        <v>0</v>
      </c>
      <c r="FR17" s="117">
        <v>0</v>
      </c>
      <c r="FS17" s="117">
        <v>0</v>
      </c>
      <c r="FT17" s="117">
        <v>0</v>
      </c>
      <c r="FU17" s="117">
        <v>0</v>
      </c>
      <c r="FV17" s="117">
        <v>0</v>
      </c>
      <c r="FW17" s="117">
        <v>0</v>
      </c>
      <c r="FX17" s="117">
        <v>0</v>
      </c>
    </row>
    <row r="18" spans="1:181">
      <c r="B18" s="112" t="s">
        <v>341</v>
      </c>
      <c r="J18" s="116" t="s">
        <v>438</v>
      </c>
      <c r="K18" s="117" t="s">
        <v>438</v>
      </c>
      <c r="L18" s="117" t="s">
        <v>438</v>
      </c>
      <c r="M18" s="117" t="s">
        <v>438</v>
      </c>
      <c r="N18" s="117" t="s">
        <v>438</v>
      </c>
      <c r="O18" s="117" t="s">
        <v>438</v>
      </c>
      <c r="P18" s="117" t="s">
        <v>438</v>
      </c>
      <c r="Q18" s="117" t="s">
        <v>438</v>
      </c>
      <c r="R18" s="117" t="s">
        <v>439</v>
      </c>
      <c r="S18" s="117" t="s">
        <v>439</v>
      </c>
      <c r="T18" s="117" t="s">
        <v>439</v>
      </c>
      <c r="U18" s="117" t="s">
        <v>439</v>
      </c>
      <c r="V18" s="117" t="s">
        <v>439</v>
      </c>
      <c r="W18" s="117" t="s">
        <v>439</v>
      </c>
      <c r="X18" s="117" t="s">
        <v>439</v>
      </c>
      <c r="Y18" s="117" t="s">
        <v>439</v>
      </c>
      <c r="Z18" s="117" t="s">
        <v>439</v>
      </c>
      <c r="AA18" s="117" t="s">
        <v>439</v>
      </c>
      <c r="AB18" s="117" t="s">
        <v>439</v>
      </c>
      <c r="AC18" s="117" t="s">
        <v>439</v>
      </c>
      <c r="AD18" s="117" t="s">
        <v>440</v>
      </c>
      <c r="AE18" s="117" t="s">
        <v>440</v>
      </c>
      <c r="AF18" s="117" t="s">
        <v>440</v>
      </c>
      <c r="AG18" s="117" t="s">
        <v>440</v>
      </c>
      <c r="AH18" s="117" t="s">
        <v>440</v>
      </c>
      <c r="AI18" s="117" t="s">
        <v>440</v>
      </c>
      <c r="AJ18" s="117" t="s">
        <v>440</v>
      </c>
      <c r="AK18" s="117" t="s">
        <v>440</v>
      </c>
      <c r="AL18" s="117" t="s">
        <v>440</v>
      </c>
      <c r="AM18" s="117" t="s">
        <v>440</v>
      </c>
      <c r="AN18" s="117" t="s">
        <v>440</v>
      </c>
      <c r="AO18" s="117" t="s">
        <v>440</v>
      </c>
      <c r="AP18" s="117" t="s">
        <v>441</v>
      </c>
      <c r="AQ18" s="117" t="s">
        <v>441</v>
      </c>
      <c r="AR18" s="117" t="s">
        <v>441</v>
      </c>
      <c r="AS18" s="117" t="s">
        <v>441</v>
      </c>
      <c r="AT18" s="117" t="s">
        <v>441</v>
      </c>
      <c r="AU18" s="117" t="s">
        <v>441</v>
      </c>
      <c r="AV18" s="117" t="s">
        <v>441</v>
      </c>
      <c r="AW18" s="117" t="s">
        <v>441</v>
      </c>
      <c r="AX18" s="117" t="s">
        <v>441</v>
      </c>
      <c r="AY18" s="117" t="s">
        <v>441</v>
      </c>
      <c r="AZ18" s="117" t="s">
        <v>441</v>
      </c>
      <c r="BA18" s="117" t="s">
        <v>441</v>
      </c>
      <c r="BB18" s="117" t="s">
        <v>442</v>
      </c>
      <c r="BC18" s="117" t="s">
        <v>442</v>
      </c>
      <c r="BD18" s="117" t="s">
        <v>442</v>
      </c>
      <c r="BE18" s="117" t="s">
        <v>442</v>
      </c>
      <c r="BF18" s="117" t="s">
        <v>442</v>
      </c>
      <c r="BG18" s="117" t="s">
        <v>442</v>
      </c>
      <c r="BH18" s="117" t="s">
        <v>442</v>
      </c>
      <c r="BI18" s="117" t="s">
        <v>442</v>
      </c>
      <c r="BJ18" s="117" t="s">
        <v>442</v>
      </c>
      <c r="BK18" s="117" t="s">
        <v>442</v>
      </c>
      <c r="BL18" s="117" t="s">
        <v>442</v>
      </c>
      <c r="BM18" s="117" t="s">
        <v>442</v>
      </c>
      <c r="BN18" s="117" t="s">
        <v>443</v>
      </c>
      <c r="BO18" s="117" t="s">
        <v>443</v>
      </c>
      <c r="BP18" s="117" t="s">
        <v>443</v>
      </c>
      <c r="BQ18" s="117" t="s">
        <v>443</v>
      </c>
      <c r="BR18" s="117" t="s">
        <v>443</v>
      </c>
      <c r="BS18" s="117" t="s">
        <v>443</v>
      </c>
      <c r="BT18" s="117" t="s">
        <v>443</v>
      </c>
      <c r="BU18" s="117" t="s">
        <v>443</v>
      </c>
      <c r="BV18" s="117" t="s">
        <v>443</v>
      </c>
      <c r="BW18" s="117" t="s">
        <v>443</v>
      </c>
      <c r="BX18" s="117" t="s">
        <v>443</v>
      </c>
      <c r="BY18" s="117" t="s">
        <v>443</v>
      </c>
      <c r="BZ18" s="117" t="s">
        <v>444</v>
      </c>
      <c r="CA18" s="117" t="s">
        <v>444</v>
      </c>
      <c r="CB18" s="117" t="s">
        <v>444</v>
      </c>
      <c r="CC18" s="117" t="s">
        <v>444</v>
      </c>
      <c r="CD18" s="117" t="s">
        <v>444</v>
      </c>
      <c r="CE18" s="117" t="s">
        <v>444</v>
      </c>
      <c r="CF18" s="117" t="s">
        <v>444</v>
      </c>
      <c r="CG18" s="117" t="s">
        <v>444</v>
      </c>
      <c r="CH18" s="117" t="s">
        <v>444</v>
      </c>
      <c r="CI18" s="117" t="s">
        <v>444</v>
      </c>
      <c r="CJ18" s="117" t="s">
        <v>444</v>
      </c>
      <c r="CK18" s="117" t="s">
        <v>444</v>
      </c>
      <c r="CL18" s="117" t="s">
        <v>445</v>
      </c>
      <c r="CM18" s="117" t="s">
        <v>445</v>
      </c>
      <c r="CN18" s="117" t="s">
        <v>445</v>
      </c>
      <c r="CO18" s="117" t="s">
        <v>445</v>
      </c>
      <c r="CP18" s="117" t="s">
        <v>445</v>
      </c>
      <c r="CQ18" s="117" t="s">
        <v>445</v>
      </c>
      <c r="CR18" s="117" t="s">
        <v>445</v>
      </c>
      <c r="CS18" s="117" t="s">
        <v>445</v>
      </c>
      <c r="CT18" s="117" t="s">
        <v>445</v>
      </c>
      <c r="CU18" s="117" t="s">
        <v>445</v>
      </c>
      <c r="CV18" s="117" t="s">
        <v>445</v>
      </c>
      <c r="CW18" s="117" t="s">
        <v>445</v>
      </c>
      <c r="CX18" s="117" t="s">
        <v>446</v>
      </c>
      <c r="CY18" s="117" t="s">
        <v>446</v>
      </c>
      <c r="CZ18" s="117" t="s">
        <v>446</v>
      </c>
      <c r="DA18" s="117" t="s">
        <v>446</v>
      </c>
      <c r="DB18" s="117" t="s">
        <v>446</v>
      </c>
      <c r="DC18" s="117" t="s">
        <v>446</v>
      </c>
      <c r="DD18" s="117" t="s">
        <v>446</v>
      </c>
      <c r="DE18" s="117" t="s">
        <v>446</v>
      </c>
      <c r="DF18" s="117" t="s">
        <v>446</v>
      </c>
      <c r="DG18" s="117" t="s">
        <v>446</v>
      </c>
      <c r="DH18" s="117" t="s">
        <v>446</v>
      </c>
      <c r="DI18" s="117" t="s">
        <v>446</v>
      </c>
      <c r="DJ18" s="117" t="s">
        <v>447</v>
      </c>
      <c r="DK18" s="117" t="s">
        <v>447</v>
      </c>
      <c r="DL18" s="117" t="s">
        <v>447</v>
      </c>
      <c r="DM18" s="117" t="s">
        <v>447</v>
      </c>
      <c r="DN18" s="117" t="s">
        <v>447</v>
      </c>
      <c r="DO18" s="117" t="s">
        <v>447</v>
      </c>
      <c r="DP18" s="117" t="s">
        <v>447</v>
      </c>
      <c r="DQ18" s="117" t="s">
        <v>447</v>
      </c>
      <c r="DR18" s="117" t="s">
        <v>447</v>
      </c>
      <c r="DS18" s="117" t="s">
        <v>447</v>
      </c>
      <c r="DT18" s="117" t="s">
        <v>447</v>
      </c>
      <c r="DU18" s="117" t="s">
        <v>447</v>
      </c>
      <c r="DV18" s="117" t="s">
        <v>448</v>
      </c>
      <c r="DW18" s="117" t="s">
        <v>448</v>
      </c>
      <c r="DX18" s="117" t="s">
        <v>448</v>
      </c>
      <c r="DY18" s="117" t="s">
        <v>448</v>
      </c>
      <c r="DZ18" s="117" t="s">
        <v>448</v>
      </c>
      <c r="EA18" s="117" t="s">
        <v>448</v>
      </c>
      <c r="EB18" s="117" t="s">
        <v>448</v>
      </c>
      <c r="EC18" s="117" t="s">
        <v>448</v>
      </c>
      <c r="ED18" s="117" t="s">
        <v>448</v>
      </c>
      <c r="EE18" s="117" t="s">
        <v>448</v>
      </c>
      <c r="EF18" s="117" t="s">
        <v>448</v>
      </c>
      <c r="EG18" s="117" t="s">
        <v>448</v>
      </c>
      <c r="EH18" s="117" t="s">
        <v>449</v>
      </c>
      <c r="EI18" s="117" t="s">
        <v>449</v>
      </c>
      <c r="EJ18" s="117" t="s">
        <v>449</v>
      </c>
      <c r="EK18" s="117" t="s">
        <v>449</v>
      </c>
      <c r="EL18" s="117" t="s">
        <v>449</v>
      </c>
      <c r="EM18" s="117" t="s">
        <v>449</v>
      </c>
      <c r="EN18" s="117" t="s">
        <v>449</v>
      </c>
      <c r="EO18" s="117" t="s">
        <v>449</v>
      </c>
      <c r="EP18" s="117" t="s">
        <v>449</v>
      </c>
      <c r="EQ18" s="117" t="s">
        <v>449</v>
      </c>
      <c r="ER18" s="117" t="s">
        <v>449</v>
      </c>
      <c r="ES18" s="117" t="s">
        <v>449</v>
      </c>
      <c r="ET18" s="117" t="s">
        <v>450</v>
      </c>
      <c r="EU18" s="117" t="s">
        <v>450</v>
      </c>
      <c r="EV18" s="117" t="s">
        <v>450</v>
      </c>
      <c r="EW18" s="117" t="s">
        <v>450</v>
      </c>
      <c r="EX18" s="117" t="s">
        <v>450</v>
      </c>
      <c r="EY18" s="117" t="s">
        <v>450</v>
      </c>
      <c r="EZ18" s="117" t="s">
        <v>450</v>
      </c>
      <c r="FA18" s="117" t="s">
        <v>450</v>
      </c>
      <c r="FB18" s="117" t="s">
        <v>450</v>
      </c>
      <c r="FC18" s="117" t="s">
        <v>450</v>
      </c>
      <c r="FD18" s="117" t="s">
        <v>450</v>
      </c>
      <c r="FE18" s="117" t="s">
        <v>450</v>
      </c>
      <c r="FF18" s="117" t="s">
        <v>451</v>
      </c>
      <c r="FG18" s="117" t="s">
        <v>451</v>
      </c>
      <c r="FH18" s="117" t="s">
        <v>451</v>
      </c>
      <c r="FI18" s="117" t="s">
        <v>451</v>
      </c>
      <c r="FJ18" s="117" t="s">
        <v>451</v>
      </c>
      <c r="FK18" s="117" t="s">
        <v>451</v>
      </c>
      <c r="FL18" s="117" t="s">
        <v>451</v>
      </c>
      <c r="FM18" s="117" t="s">
        <v>451</v>
      </c>
      <c r="FN18" s="117" t="s">
        <v>451</v>
      </c>
      <c r="FO18" s="117" t="s">
        <v>451</v>
      </c>
      <c r="FP18" s="117" t="s">
        <v>451</v>
      </c>
      <c r="FQ18" s="117" t="s">
        <v>451</v>
      </c>
      <c r="FR18" s="117" t="s">
        <v>452</v>
      </c>
      <c r="FS18" s="117" t="s">
        <v>452</v>
      </c>
      <c r="FT18" s="117" t="s">
        <v>452</v>
      </c>
      <c r="FU18" s="117" t="s">
        <v>452</v>
      </c>
      <c r="FV18" s="117" t="s">
        <v>452</v>
      </c>
      <c r="FW18" s="117" t="s">
        <v>452</v>
      </c>
      <c r="FX18" s="117" t="s">
        <v>452</v>
      </c>
    </row>
    <row r="19" spans="1:181">
      <c r="B19" s="112" t="s">
        <v>342</v>
      </c>
      <c r="J19" s="116">
        <v>5</v>
      </c>
      <c r="K19" s="116">
        <v>6</v>
      </c>
      <c r="L19" s="117">
        <v>7</v>
      </c>
      <c r="M19" s="117">
        <v>8</v>
      </c>
      <c r="N19" s="117">
        <v>9</v>
      </c>
      <c r="O19" s="117">
        <v>10</v>
      </c>
      <c r="P19" s="117">
        <v>11</v>
      </c>
      <c r="Q19" s="117">
        <v>12</v>
      </c>
      <c r="R19" s="117">
        <v>1</v>
      </c>
      <c r="S19" s="117">
        <v>2</v>
      </c>
      <c r="T19" s="117">
        <v>3</v>
      </c>
      <c r="U19" s="117">
        <v>4</v>
      </c>
      <c r="V19" s="117">
        <v>5</v>
      </c>
      <c r="W19" s="117">
        <v>6</v>
      </c>
      <c r="X19" s="117">
        <v>7</v>
      </c>
      <c r="Y19" s="117">
        <v>8</v>
      </c>
      <c r="Z19" s="117">
        <v>9</v>
      </c>
      <c r="AA19" s="117">
        <v>10</v>
      </c>
      <c r="AB19" s="117">
        <v>11</v>
      </c>
      <c r="AC19" s="117">
        <v>12</v>
      </c>
      <c r="AD19" s="117">
        <v>1</v>
      </c>
      <c r="AE19" s="117">
        <v>2</v>
      </c>
      <c r="AF19" s="117">
        <v>3</v>
      </c>
      <c r="AG19" s="117">
        <v>4</v>
      </c>
      <c r="AH19" s="117">
        <v>5</v>
      </c>
      <c r="AI19" s="117">
        <v>6</v>
      </c>
      <c r="AJ19" s="117">
        <v>7</v>
      </c>
      <c r="AK19" s="117">
        <v>8</v>
      </c>
      <c r="AL19" s="117">
        <v>9</v>
      </c>
      <c r="AM19" s="117">
        <v>10</v>
      </c>
      <c r="AN19" s="117">
        <v>11</v>
      </c>
      <c r="AO19" s="117">
        <v>12</v>
      </c>
      <c r="AP19" s="117">
        <v>1</v>
      </c>
      <c r="AQ19" s="117">
        <v>2</v>
      </c>
      <c r="AR19" s="117">
        <v>3</v>
      </c>
      <c r="AS19" s="117">
        <v>4</v>
      </c>
      <c r="AT19" s="117">
        <v>5</v>
      </c>
      <c r="AU19" s="117">
        <v>6</v>
      </c>
      <c r="AV19" s="117">
        <v>7</v>
      </c>
      <c r="AW19" s="117">
        <v>8</v>
      </c>
      <c r="AX19" s="117">
        <v>9</v>
      </c>
      <c r="AY19" s="117">
        <v>10</v>
      </c>
      <c r="AZ19" s="117">
        <v>11</v>
      </c>
      <c r="BA19" s="117">
        <v>12</v>
      </c>
      <c r="BB19" s="117">
        <v>1</v>
      </c>
      <c r="BC19" s="117">
        <v>2</v>
      </c>
      <c r="BD19" s="117">
        <v>3</v>
      </c>
      <c r="BE19" s="117">
        <v>4</v>
      </c>
      <c r="BF19" s="117">
        <v>5</v>
      </c>
      <c r="BG19" s="117">
        <v>6</v>
      </c>
      <c r="BH19" s="117">
        <v>7</v>
      </c>
      <c r="BI19" s="117">
        <v>8</v>
      </c>
      <c r="BJ19" s="117">
        <v>9</v>
      </c>
      <c r="BK19" s="117">
        <v>10</v>
      </c>
      <c r="BL19" s="117">
        <v>11</v>
      </c>
      <c r="BM19" s="117">
        <v>12</v>
      </c>
      <c r="BN19" s="117">
        <v>1</v>
      </c>
      <c r="BO19" s="117">
        <v>2</v>
      </c>
      <c r="BP19" s="117">
        <v>3</v>
      </c>
      <c r="BQ19" s="117">
        <v>4</v>
      </c>
      <c r="BR19" s="117">
        <v>5</v>
      </c>
      <c r="BS19" s="117">
        <v>6</v>
      </c>
      <c r="BT19" s="117">
        <v>7</v>
      </c>
      <c r="BU19" s="117">
        <v>8</v>
      </c>
      <c r="BV19" s="117">
        <v>9</v>
      </c>
      <c r="BW19" s="117">
        <v>10</v>
      </c>
      <c r="BX19" s="117">
        <v>11</v>
      </c>
      <c r="BY19" s="117">
        <v>12</v>
      </c>
      <c r="BZ19" s="117">
        <v>1</v>
      </c>
      <c r="CA19" s="117">
        <v>2</v>
      </c>
      <c r="CB19" s="117">
        <v>3</v>
      </c>
      <c r="CC19" s="117">
        <v>4</v>
      </c>
      <c r="CD19" s="117">
        <v>5</v>
      </c>
      <c r="CE19" s="117">
        <v>6</v>
      </c>
      <c r="CF19" s="117">
        <v>7</v>
      </c>
      <c r="CG19" s="117">
        <v>8</v>
      </c>
      <c r="CH19" s="117">
        <v>9</v>
      </c>
      <c r="CI19" s="117">
        <v>10</v>
      </c>
      <c r="CJ19" s="117">
        <v>11</v>
      </c>
      <c r="CK19" s="117">
        <v>12</v>
      </c>
      <c r="CL19" s="117">
        <v>1</v>
      </c>
      <c r="CM19" s="117">
        <v>2</v>
      </c>
      <c r="CN19" s="117">
        <v>3</v>
      </c>
      <c r="CO19" s="117">
        <v>4</v>
      </c>
      <c r="CP19" s="117">
        <v>5</v>
      </c>
      <c r="CQ19" s="117">
        <v>6</v>
      </c>
      <c r="CR19" s="117">
        <v>7</v>
      </c>
      <c r="CS19" s="117">
        <v>8</v>
      </c>
      <c r="CT19" s="117">
        <v>9</v>
      </c>
      <c r="CU19" s="117">
        <v>10</v>
      </c>
      <c r="CV19" s="117">
        <v>11</v>
      </c>
      <c r="CW19" s="117">
        <v>12</v>
      </c>
      <c r="CX19" s="117">
        <v>1</v>
      </c>
      <c r="CY19" s="117">
        <v>2</v>
      </c>
      <c r="CZ19" s="117">
        <v>3</v>
      </c>
      <c r="DA19" s="117">
        <v>4</v>
      </c>
      <c r="DB19" s="117">
        <v>5</v>
      </c>
      <c r="DC19" s="117">
        <v>6</v>
      </c>
      <c r="DD19" s="117">
        <v>7</v>
      </c>
      <c r="DE19" s="117">
        <v>8</v>
      </c>
      <c r="DF19" s="117">
        <v>9</v>
      </c>
      <c r="DG19" s="117">
        <v>10</v>
      </c>
      <c r="DH19" s="117">
        <v>11</v>
      </c>
      <c r="DI19" s="117">
        <v>12</v>
      </c>
      <c r="DJ19" s="117">
        <v>1</v>
      </c>
      <c r="DK19" s="117">
        <v>2</v>
      </c>
      <c r="DL19" s="117">
        <v>3</v>
      </c>
      <c r="DM19" s="117">
        <v>4</v>
      </c>
      <c r="DN19" s="117">
        <v>5</v>
      </c>
      <c r="DO19" s="117">
        <v>6</v>
      </c>
      <c r="DP19" s="117">
        <v>7</v>
      </c>
      <c r="DQ19" s="117">
        <v>8</v>
      </c>
      <c r="DR19" s="117">
        <v>9</v>
      </c>
      <c r="DS19" s="117">
        <v>10</v>
      </c>
      <c r="DT19" s="117">
        <v>11</v>
      </c>
      <c r="DU19" s="117">
        <v>12</v>
      </c>
      <c r="DV19" s="117">
        <v>1</v>
      </c>
      <c r="DW19" s="117">
        <v>2</v>
      </c>
      <c r="DX19" s="117">
        <v>3</v>
      </c>
      <c r="DY19" s="117">
        <v>4</v>
      </c>
      <c r="DZ19" s="117">
        <v>5</v>
      </c>
      <c r="EA19" s="117">
        <v>6</v>
      </c>
      <c r="EB19" s="117">
        <v>7</v>
      </c>
      <c r="EC19" s="117">
        <v>8</v>
      </c>
      <c r="ED19" s="117">
        <v>9</v>
      </c>
      <c r="EE19" s="117">
        <v>10</v>
      </c>
      <c r="EF19" s="117">
        <v>11</v>
      </c>
      <c r="EG19" s="117">
        <v>12</v>
      </c>
      <c r="EH19" s="117">
        <v>1</v>
      </c>
      <c r="EI19" s="117">
        <v>2</v>
      </c>
      <c r="EJ19" s="117">
        <v>3</v>
      </c>
      <c r="EK19" s="117">
        <v>4</v>
      </c>
      <c r="EL19" s="117">
        <v>5</v>
      </c>
      <c r="EM19" s="117">
        <v>6</v>
      </c>
      <c r="EN19" s="117">
        <v>7</v>
      </c>
      <c r="EO19" s="117">
        <v>8</v>
      </c>
      <c r="EP19" s="117">
        <v>9</v>
      </c>
      <c r="EQ19" s="117">
        <v>10</v>
      </c>
      <c r="ER19" s="117">
        <v>11</v>
      </c>
      <c r="ES19" s="117">
        <v>12</v>
      </c>
      <c r="ET19" s="117">
        <v>1</v>
      </c>
      <c r="EU19" s="117">
        <v>2</v>
      </c>
      <c r="EV19" s="117">
        <v>3</v>
      </c>
      <c r="EW19" s="117">
        <v>4</v>
      </c>
      <c r="EX19" s="117">
        <v>5</v>
      </c>
      <c r="EY19" s="117">
        <v>6</v>
      </c>
      <c r="EZ19" s="117">
        <v>7</v>
      </c>
      <c r="FA19" s="117">
        <v>8</v>
      </c>
      <c r="FB19" s="117">
        <v>9</v>
      </c>
      <c r="FC19" s="117">
        <v>10</v>
      </c>
      <c r="FD19" s="117">
        <v>11</v>
      </c>
      <c r="FE19" s="117">
        <v>12</v>
      </c>
      <c r="FF19" s="117">
        <v>1</v>
      </c>
      <c r="FG19" s="117">
        <v>2</v>
      </c>
      <c r="FH19" s="117">
        <v>3</v>
      </c>
      <c r="FI19" s="117">
        <v>4</v>
      </c>
      <c r="FJ19" s="117">
        <v>5</v>
      </c>
      <c r="FK19" s="117">
        <v>6</v>
      </c>
      <c r="FL19" s="117">
        <v>7</v>
      </c>
      <c r="FM19" s="117">
        <v>8</v>
      </c>
      <c r="FN19" s="117">
        <v>9</v>
      </c>
      <c r="FO19" s="117">
        <v>10</v>
      </c>
      <c r="FP19" s="117">
        <v>11</v>
      </c>
      <c r="FQ19" s="117">
        <v>12</v>
      </c>
      <c r="FR19" s="117">
        <v>1</v>
      </c>
      <c r="FS19" s="117">
        <v>2</v>
      </c>
      <c r="FT19" s="117">
        <v>3</v>
      </c>
      <c r="FU19" s="117">
        <v>4</v>
      </c>
      <c r="FV19" s="117">
        <v>5</v>
      </c>
      <c r="FW19" s="117">
        <v>6</v>
      </c>
      <c r="FX19" s="117">
        <v>7</v>
      </c>
    </row>
    <row r="20" spans="1:181">
      <c r="B20" s="112" t="s">
        <v>343</v>
      </c>
      <c r="J20" s="116" t="s">
        <v>347</v>
      </c>
      <c r="K20" s="117" t="s">
        <v>347</v>
      </c>
      <c r="L20" s="117" t="s">
        <v>347</v>
      </c>
      <c r="M20" s="117" t="s">
        <v>347</v>
      </c>
      <c r="N20" s="117" t="s">
        <v>347</v>
      </c>
      <c r="O20" s="117" t="s">
        <v>261</v>
      </c>
      <c r="P20" s="117" t="s">
        <v>261</v>
      </c>
      <c r="Q20" s="117" t="s">
        <v>261</v>
      </c>
      <c r="R20" s="117" t="s">
        <v>261</v>
      </c>
      <c r="S20" s="117" t="s">
        <v>261</v>
      </c>
      <c r="T20" s="117" t="s">
        <v>261</v>
      </c>
      <c r="U20" s="117" t="s">
        <v>261</v>
      </c>
      <c r="V20" s="117" t="s">
        <v>261</v>
      </c>
      <c r="W20" s="117" t="s">
        <v>261</v>
      </c>
      <c r="X20" s="117" t="s">
        <v>261</v>
      </c>
      <c r="Y20" s="117" t="s">
        <v>261</v>
      </c>
      <c r="Z20" s="117" t="s">
        <v>261</v>
      </c>
      <c r="AA20" s="117" t="s">
        <v>262</v>
      </c>
      <c r="AB20" s="117" t="s">
        <v>262</v>
      </c>
      <c r="AC20" s="117" t="s">
        <v>262</v>
      </c>
      <c r="AD20" s="117" t="s">
        <v>262</v>
      </c>
      <c r="AE20" s="117" t="s">
        <v>262</v>
      </c>
      <c r="AF20" s="117" t="s">
        <v>262</v>
      </c>
      <c r="AG20" s="117" t="s">
        <v>262</v>
      </c>
      <c r="AH20" s="117" t="s">
        <v>262</v>
      </c>
      <c r="AI20" s="117" t="s">
        <v>262</v>
      </c>
      <c r="AJ20" s="117" t="s">
        <v>262</v>
      </c>
      <c r="AK20" s="117" t="s">
        <v>262</v>
      </c>
      <c r="AL20" s="117" t="s">
        <v>262</v>
      </c>
      <c r="AM20" s="117" t="s">
        <v>263</v>
      </c>
      <c r="AN20" s="117" t="s">
        <v>263</v>
      </c>
      <c r="AO20" s="117" t="s">
        <v>263</v>
      </c>
      <c r="AP20" s="117" t="s">
        <v>263</v>
      </c>
      <c r="AQ20" s="117" t="s">
        <v>263</v>
      </c>
      <c r="AR20" s="117" t="s">
        <v>263</v>
      </c>
      <c r="AS20" s="117" t="s">
        <v>263</v>
      </c>
      <c r="AT20" s="117" t="s">
        <v>263</v>
      </c>
      <c r="AU20" s="117" t="s">
        <v>263</v>
      </c>
      <c r="AV20" s="117" t="s">
        <v>263</v>
      </c>
      <c r="AW20" s="117" t="s">
        <v>263</v>
      </c>
      <c r="AX20" s="117" t="s">
        <v>263</v>
      </c>
      <c r="AY20" s="117" t="s">
        <v>264</v>
      </c>
      <c r="AZ20" s="117" t="s">
        <v>264</v>
      </c>
      <c r="BA20" s="117" t="s">
        <v>264</v>
      </c>
      <c r="BB20" s="117" t="s">
        <v>264</v>
      </c>
      <c r="BC20" s="117" t="s">
        <v>264</v>
      </c>
      <c r="BD20" s="117" t="s">
        <v>264</v>
      </c>
      <c r="BE20" s="117" t="s">
        <v>264</v>
      </c>
      <c r="BF20" s="117" t="s">
        <v>264</v>
      </c>
      <c r="BG20" s="117" t="s">
        <v>264</v>
      </c>
      <c r="BH20" s="117" t="s">
        <v>264</v>
      </c>
      <c r="BI20" s="117" t="s">
        <v>264</v>
      </c>
      <c r="BJ20" s="117" t="s">
        <v>264</v>
      </c>
      <c r="BK20" s="117" t="s">
        <v>348</v>
      </c>
      <c r="BL20" s="117" t="s">
        <v>348</v>
      </c>
      <c r="BM20" s="117" t="s">
        <v>348</v>
      </c>
      <c r="BN20" s="117" t="s">
        <v>348</v>
      </c>
      <c r="BO20" s="117" t="s">
        <v>348</v>
      </c>
      <c r="BP20" s="117" t="s">
        <v>348</v>
      </c>
      <c r="BQ20" s="117" t="s">
        <v>348</v>
      </c>
      <c r="BR20" s="117" t="s">
        <v>348</v>
      </c>
      <c r="BS20" s="117" t="s">
        <v>348</v>
      </c>
      <c r="BT20" s="117" t="s">
        <v>348</v>
      </c>
      <c r="BU20" s="117" t="s">
        <v>348</v>
      </c>
      <c r="BV20" s="117" t="s">
        <v>348</v>
      </c>
      <c r="BW20" s="117" t="s">
        <v>349</v>
      </c>
      <c r="BX20" s="117" t="s">
        <v>349</v>
      </c>
      <c r="BY20" s="117" t="s">
        <v>349</v>
      </c>
      <c r="BZ20" s="117" t="s">
        <v>349</v>
      </c>
      <c r="CA20" s="117" t="s">
        <v>349</v>
      </c>
      <c r="CB20" s="117" t="s">
        <v>349</v>
      </c>
      <c r="CC20" s="117" t="s">
        <v>349</v>
      </c>
      <c r="CD20" s="117" t="s">
        <v>349</v>
      </c>
      <c r="CE20" s="117" t="s">
        <v>349</v>
      </c>
      <c r="CF20" s="117" t="s">
        <v>349</v>
      </c>
      <c r="CG20" s="117" t="s">
        <v>349</v>
      </c>
      <c r="CH20" s="117" t="s">
        <v>349</v>
      </c>
      <c r="CI20" s="117" t="s">
        <v>350</v>
      </c>
      <c r="CJ20" s="117" t="s">
        <v>350</v>
      </c>
      <c r="CK20" s="117" t="s">
        <v>350</v>
      </c>
      <c r="CL20" s="117" t="s">
        <v>350</v>
      </c>
      <c r="CM20" s="117" t="s">
        <v>350</v>
      </c>
      <c r="CN20" s="117" t="s">
        <v>350</v>
      </c>
      <c r="CO20" s="117" t="s">
        <v>350</v>
      </c>
      <c r="CP20" s="117" t="s">
        <v>350</v>
      </c>
      <c r="CQ20" s="117" t="s">
        <v>350</v>
      </c>
      <c r="CR20" s="117" t="s">
        <v>350</v>
      </c>
      <c r="CS20" s="117" t="s">
        <v>350</v>
      </c>
      <c r="CT20" s="117" t="s">
        <v>350</v>
      </c>
      <c r="CU20" s="117" t="s">
        <v>351</v>
      </c>
      <c r="CV20" s="117" t="s">
        <v>351</v>
      </c>
      <c r="CW20" s="117" t="s">
        <v>351</v>
      </c>
      <c r="CX20" s="117" t="s">
        <v>351</v>
      </c>
      <c r="CY20" s="117" t="s">
        <v>351</v>
      </c>
      <c r="CZ20" s="117" t="s">
        <v>351</v>
      </c>
      <c r="DA20" s="117" t="s">
        <v>351</v>
      </c>
      <c r="DB20" s="117" t="s">
        <v>351</v>
      </c>
      <c r="DC20" s="117" t="s">
        <v>351</v>
      </c>
      <c r="DD20" s="117" t="s">
        <v>351</v>
      </c>
      <c r="DE20" s="117" t="s">
        <v>351</v>
      </c>
      <c r="DF20" s="117" t="s">
        <v>351</v>
      </c>
      <c r="DG20" s="117" t="s">
        <v>352</v>
      </c>
      <c r="DH20" s="117" t="s">
        <v>352</v>
      </c>
      <c r="DI20" s="117" t="s">
        <v>352</v>
      </c>
      <c r="DJ20" s="117" t="s">
        <v>352</v>
      </c>
      <c r="DK20" s="117" t="s">
        <v>352</v>
      </c>
      <c r="DL20" s="117" t="s">
        <v>352</v>
      </c>
      <c r="DM20" s="117" t="s">
        <v>352</v>
      </c>
      <c r="DN20" s="117" t="s">
        <v>352</v>
      </c>
      <c r="DO20" s="117" t="s">
        <v>352</v>
      </c>
      <c r="DP20" s="117" t="s">
        <v>352</v>
      </c>
      <c r="DQ20" s="117" t="s">
        <v>352</v>
      </c>
      <c r="DR20" s="117" t="s">
        <v>352</v>
      </c>
      <c r="DS20" s="117" t="s">
        <v>353</v>
      </c>
      <c r="DT20" s="117" t="s">
        <v>353</v>
      </c>
      <c r="DU20" s="117" t="s">
        <v>353</v>
      </c>
      <c r="DV20" s="117" t="s">
        <v>353</v>
      </c>
      <c r="DW20" s="117" t="s">
        <v>353</v>
      </c>
      <c r="DX20" s="117" t="s">
        <v>353</v>
      </c>
      <c r="DY20" s="117" t="s">
        <v>353</v>
      </c>
      <c r="DZ20" s="117" t="s">
        <v>353</v>
      </c>
      <c r="EA20" s="117" t="s">
        <v>353</v>
      </c>
      <c r="EB20" s="117" t="s">
        <v>353</v>
      </c>
      <c r="EC20" s="117" t="s">
        <v>353</v>
      </c>
      <c r="ED20" s="117" t="s">
        <v>353</v>
      </c>
      <c r="EE20" s="117" t="s">
        <v>354</v>
      </c>
      <c r="EF20" s="117" t="s">
        <v>354</v>
      </c>
      <c r="EG20" s="117" t="s">
        <v>354</v>
      </c>
      <c r="EH20" s="117" t="s">
        <v>354</v>
      </c>
      <c r="EI20" s="117" t="s">
        <v>354</v>
      </c>
      <c r="EJ20" s="117" t="s">
        <v>354</v>
      </c>
      <c r="EK20" s="117" t="s">
        <v>354</v>
      </c>
      <c r="EL20" s="117" t="s">
        <v>354</v>
      </c>
      <c r="EM20" s="117" t="s">
        <v>354</v>
      </c>
      <c r="EN20" s="117" t="s">
        <v>354</v>
      </c>
      <c r="EO20" s="117" t="s">
        <v>354</v>
      </c>
      <c r="EP20" s="117" t="s">
        <v>354</v>
      </c>
      <c r="EQ20" s="117" t="s">
        <v>355</v>
      </c>
      <c r="ER20" s="117" t="s">
        <v>355</v>
      </c>
      <c r="ES20" s="117" t="s">
        <v>355</v>
      </c>
      <c r="ET20" s="117" t="s">
        <v>355</v>
      </c>
      <c r="EU20" s="117" t="s">
        <v>355</v>
      </c>
      <c r="EV20" s="117" t="s">
        <v>355</v>
      </c>
      <c r="EW20" s="117" t="s">
        <v>355</v>
      </c>
      <c r="EX20" s="117" t="s">
        <v>355</v>
      </c>
      <c r="EY20" s="117" t="s">
        <v>355</v>
      </c>
      <c r="EZ20" s="117" t="s">
        <v>355</v>
      </c>
      <c r="FA20" s="117" t="s">
        <v>355</v>
      </c>
      <c r="FB20" s="117" t="s">
        <v>355</v>
      </c>
      <c r="FC20" s="117" t="s">
        <v>356</v>
      </c>
      <c r="FD20" s="117" t="s">
        <v>356</v>
      </c>
      <c r="FE20" s="117" t="s">
        <v>356</v>
      </c>
      <c r="FF20" s="117" t="s">
        <v>356</v>
      </c>
      <c r="FG20" s="117" t="s">
        <v>356</v>
      </c>
      <c r="FH20" s="117" t="s">
        <v>356</v>
      </c>
      <c r="FI20" s="117" t="s">
        <v>356</v>
      </c>
      <c r="FJ20" s="117" t="s">
        <v>356</v>
      </c>
      <c r="FK20" s="117" t="s">
        <v>356</v>
      </c>
      <c r="FL20" s="117" t="s">
        <v>356</v>
      </c>
      <c r="FM20" s="117" t="s">
        <v>356</v>
      </c>
      <c r="FN20" s="117" t="s">
        <v>356</v>
      </c>
      <c r="FO20" s="117" t="s">
        <v>357</v>
      </c>
      <c r="FP20" s="117" t="s">
        <v>357</v>
      </c>
      <c r="FQ20" s="117" t="s">
        <v>357</v>
      </c>
      <c r="FR20" s="117" t="s">
        <v>357</v>
      </c>
      <c r="FS20" s="117" t="s">
        <v>357</v>
      </c>
      <c r="FT20" s="117" t="s">
        <v>357</v>
      </c>
      <c r="FU20" s="117" t="s">
        <v>357</v>
      </c>
      <c r="FV20" s="117" t="s">
        <v>357</v>
      </c>
      <c r="FW20" s="117" t="s">
        <v>357</v>
      </c>
      <c r="FX20" s="117" t="s">
        <v>357</v>
      </c>
      <c r="FY20" s="110" t="s">
        <v>344</v>
      </c>
    </row>
    <row r="21" spans="1:181">
      <c r="A21" s="113"/>
      <c r="B21" s="113" t="s">
        <v>346</v>
      </c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13"/>
      <c r="DO21" s="113"/>
      <c r="DP21" s="113"/>
      <c r="DQ21" s="113"/>
      <c r="DR21" s="113"/>
      <c r="DS21" s="113"/>
      <c r="DT21" s="113"/>
      <c r="DU21" s="113"/>
      <c r="DV21" s="113"/>
      <c r="DW21" s="113"/>
      <c r="DX21" s="113"/>
      <c r="DY21" s="113"/>
      <c r="DZ21" s="113"/>
      <c r="EA21" s="113"/>
      <c r="EB21" s="113"/>
      <c r="EC21" s="113"/>
      <c r="ED21" s="113"/>
      <c r="EE21" s="113"/>
      <c r="EF21" s="113"/>
      <c r="EG21" s="113"/>
      <c r="EH21" s="113"/>
      <c r="EI21" s="113"/>
      <c r="EJ21" s="113"/>
      <c r="EK21" s="113"/>
      <c r="EL21" s="113"/>
      <c r="EM21" s="113"/>
      <c r="EN21" s="113"/>
      <c r="EO21" s="113"/>
      <c r="EP21" s="113"/>
      <c r="EQ21" s="113"/>
      <c r="ER21" s="113"/>
      <c r="ES21" s="113"/>
      <c r="ET21" s="113"/>
      <c r="EU21" s="113"/>
      <c r="EV21" s="113"/>
      <c r="EW21" s="113"/>
      <c r="EX21" s="113"/>
      <c r="EY21" s="113"/>
      <c r="EZ21" s="113"/>
      <c r="FA21" s="113"/>
      <c r="FB21" s="113"/>
      <c r="FC21" s="113"/>
      <c r="FD21" s="113"/>
      <c r="FE21" s="113"/>
      <c r="FF21" s="113"/>
      <c r="FG21" s="113"/>
      <c r="FH21" s="113"/>
      <c r="FI21" s="113"/>
      <c r="FJ21" s="113"/>
      <c r="FK21" s="113"/>
      <c r="FL21" s="113"/>
      <c r="FM21" s="113"/>
      <c r="FN21" s="113"/>
      <c r="FO21" s="113"/>
      <c r="FP21" s="113"/>
      <c r="FQ21" s="113"/>
      <c r="FR21" s="113"/>
      <c r="FS21" s="113"/>
      <c r="FT21" s="113"/>
      <c r="FU21" s="113"/>
      <c r="FV21" s="113"/>
      <c r="FW21" s="113"/>
      <c r="FX21" s="113"/>
    </row>
    <row r="22" spans="1:181"/>
    <row r="23" spans="1:181">
      <c r="B23" s="112" t="s">
        <v>333</v>
      </c>
      <c r="J23" s="121" t="s">
        <v>347</v>
      </c>
      <c r="K23" s="121" t="s">
        <v>261</v>
      </c>
      <c r="L23" s="121" t="s">
        <v>262</v>
      </c>
      <c r="M23" s="121" t="s">
        <v>263</v>
      </c>
      <c r="N23" s="121" t="s">
        <v>264</v>
      </c>
      <c r="O23" s="121" t="s">
        <v>348</v>
      </c>
      <c r="P23" s="121" t="s">
        <v>349</v>
      </c>
      <c r="Q23" s="121" t="s">
        <v>350</v>
      </c>
      <c r="R23" s="121" t="s">
        <v>351</v>
      </c>
      <c r="S23" s="121" t="s">
        <v>352</v>
      </c>
      <c r="T23" s="121" t="s">
        <v>353</v>
      </c>
      <c r="U23" s="121" t="s">
        <v>354</v>
      </c>
      <c r="V23" s="121" t="s">
        <v>355</v>
      </c>
      <c r="W23" s="121" t="s">
        <v>356</v>
      </c>
      <c r="X23" s="121" t="s">
        <v>357</v>
      </c>
    </row>
    <row r="24" spans="1:181">
      <c r="B24" s="112" t="s">
        <v>326</v>
      </c>
      <c r="J24" s="114">
        <v>38565</v>
      </c>
      <c r="K24" s="114">
        <v>38718</v>
      </c>
      <c r="L24" s="115">
        <v>39083</v>
      </c>
      <c r="M24" s="115">
        <v>39448</v>
      </c>
      <c r="N24" s="115">
        <v>39814</v>
      </c>
      <c r="O24" s="115">
        <v>40179</v>
      </c>
      <c r="P24" s="115">
        <v>40544</v>
      </c>
      <c r="Q24" s="115">
        <v>40909</v>
      </c>
      <c r="R24" s="115">
        <v>41275</v>
      </c>
      <c r="S24" s="115">
        <v>41640</v>
      </c>
      <c r="T24" s="115">
        <v>42005</v>
      </c>
      <c r="U24" s="115">
        <v>42370</v>
      </c>
      <c r="V24" s="115">
        <v>42736</v>
      </c>
      <c r="W24" s="115">
        <v>43101</v>
      </c>
      <c r="X24" s="115">
        <v>43466</v>
      </c>
    </row>
    <row r="25" spans="1:181">
      <c r="B25" s="112" t="s">
        <v>328</v>
      </c>
      <c r="J25" s="114">
        <v>38717</v>
      </c>
      <c r="K25" s="114">
        <v>39082</v>
      </c>
      <c r="L25" s="115">
        <v>39447</v>
      </c>
      <c r="M25" s="115">
        <v>39813</v>
      </c>
      <c r="N25" s="115">
        <v>40178</v>
      </c>
      <c r="O25" s="115">
        <v>40543</v>
      </c>
      <c r="P25" s="115">
        <v>40908</v>
      </c>
      <c r="Q25" s="115">
        <v>41274</v>
      </c>
      <c r="R25" s="115">
        <v>41639</v>
      </c>
      <c r="S25" s="115">
        <v>42004</v>
      </c>
      <c r="T25" s="115">
        <v>42369</v>
      </c>
      <c r="U25" s="115">
        <v>42735</v>
      </c>
      <c r="V25" s="115">
        <v>43100</v>
      </c>
      <c r="W25" s="115">
        <v>43465</v>
      </c>
      <c r="X25" s="115">
        <v>43830</v>
      </c>
    </row>
    <row r="26" spans="1:181">
      <c r="B26" s="112" t="s">
        <v>341</v>
      </c>
      <c r="J26" s="116" t="s">
        <v>438</v>
      </c>
      <c r="K26" s="122" t="s">
        <v>438</v>
      </c>
      <c r="L26" s="123" t="s">
        <v>439</v>
      </c>
      <c r="M26" s="123" t="s">
        <v>440</v>
      </c>
      <c r="N26" s="123" t="s">
        <v>441</v>
      </c>
      <c r="O26" s="123" t="s">
        <v>453</v>
      </c>
      <c r="P26" s="123" t="s">
        <v>454</v>
      </c>
      <c r="Q26" s="123" t="s">
        <v>455</v>
      </c>
      <c r="R26" s="123" t="s">
        <v>456</v>
      </c>
      <c r="S26" s="123" t="s">
        <v>457</v>
      </c>
      <c r="T26" s="123" t="s">
        <v>458</v>
      </c>
      <c r="U26" s="123" t="s">
        <v>459</v>
      </c>
      <c r="V26" s="123" t="s">
        <v>460</v>
      </c>
      <c r="W26" s="123" t="s">
        <v>461</v>
      </c>
      <c r="X26" s="123" t="s">
        <v>462</v>
      </c>
    </row>
    <row r="27" spans="1:181">
      <c r="B27" s="112" t="s">
        <v>151</v>
      </c>
      <c r="J27" s="116">
        <v>5</v>
      </c>
      <c r="K27" s="117">
        <v>12</v>
      </c>
      <c r="L27" s="117">
        <v>12</v>
      </c>
      <c r="M27" s="117">
        <v>12</v>
      </c>
      <c r="N27" s="117">
        <v>12</v>
      </c>
      <c r="O27" s="117">
        <v>12</v>
      </c>
      <c r="P27" s="117">
        <v>12</v>
      </c>
      <c r="Q27" s="117">
        <v>12</v>
      </c>
      <c r="R27" s="117">
        <v>12</v>
      </c>
      <c r="S27" s="117">
        <v>12</v>
      </c>
      <c r="T27" s="117">
        <v>12</v>
      </c>
      <c r="U27" s="117">
        <v>12</v>
      </c>
      <c r="V27" s="117">
        <v>12</v>
      </c>
      <c r="W27" s="117">
        <v>12</v>
      </c>
      <c r="X27" s="117">
        <v>12</v>
      </c>
    </row>
    <row r="28" spans="1:181">
      <c r="B28" s="112" t="s">
        <v>358</v>
      </c>
      <c r="J28" s="116">
        <v>0</v>
      </c>
      <c r="K28" s="117">
        <v>0</v>
      </c>
      <c r="L28" s="117">
        <v>0</v>
      </c>
      <c r="M28" s="117">
        <v>0</v>
      </c>
      <c r="N28" s="117">
        <v>0</v>
      </c>
      <c r="O28" s="117">
        <v>0</v>
      </c>
      <c r="P28" s="117">
        <v>0</v>
      </c>
      <c r="Q28" s="117">
        <v>0</v>
      </c>
      <c r="R28" s="117">
        <v>0</v>
      </c>
      <c r="S28" s="117">
        <v>0</v>
      </c>
      <c r="T28" s="117">
        <v>0</v>
      </c>
      <c r="U28" s="117">
        <v>0</v>
      </c>
      <c r="V28" s="117">
        <v>0</v>
      </c>
      <c r="W28" s="117">
        <v>0</v>
      </c>
      <c r="X28" s="117">
        <v>0</v>
      </c>
    </row>
    <row r="29" spans="1:181">
      <c r="A29" s="113"/>
      <c r="B29" s="113" t="s">
        <v>359</v>
      </c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13"/>
      <c r="DO29" s="113"/>
      <c r="DP29" s="113"/>
      <c r="DQ29" s="113"/>
      <c r="DR29" s="113"/>
      <c r="DS29" s="113"/>
      <c r="DT29" s="113"/>
      <c r="DU29" s="113"/>
      <c r="DV29" s="113"/>
      <c r="DW29" s="113"/>
      <c r="DX29" s="113"/>
      <c r="DY29" s="113"/>
      <c r="DZ29" s="113"/>
      <c r="EA29" s="113"/>
      <c r="EB29" s="113"/>
      <c r="EC29" s="113"/>
      <c r="ED29" s="113"/>
      <c r="EE29" s="113"/>
      <c r="EF29" s="113"/>
      <c r="EG29" s="113"/>
      <c r="EH29" s="113"/>
      <c r="EI29" s="113"/>
      <c r="EJ29" s="113"/>
      <c r="EK29" s="113"/>
      <c r="EL29" s="113"/>
      <c r="EM29" s="113"/>
      <c r="EN29" s="113"/>
      <c r="EO29" s="113"/>
      <c r="EP29" s="113"/>
      <c r="EQ29" s="113"/>
      <c r="ER29" s="113"/>
      <c r="ES29" s="113"/>
      <c r="ET29" s="113"/>
      <c r="EU29" s="113"/>
      <c r="EV29" s="113"/>
      <c r="EW29" s="113"/>
      <c r="EX29" s="113"/>
      <c r="EY29" s="113"/>
      <c r="EZ29" s="113"/>
      <c r="FA29" s="113"/>
      <c r="FB29" s="113"/>
      <c r="FC29" s="113"/>
      <c r="FD29" s="113"/>
      <c r="FE29" s="113"/>
      <c r="FF29" s="113"/>
      <c r="FG29" s="113"/>
      <c r="FH29" s="113"/>
      <c r="FI29" s="113"/>
      <c r="FJ29" s="113"/>
      <c r="FK29" s="113"/>
      <c r="FL29" s="113"/>
      <c r="FM29" s="113"/>
      <c r="FN29" s="113"/>
      <c r="FO29" s="113"/>
      <c r="FP29" s="113"/>
      <c r="FQ29" s="113"/>
      <c r="FR29" s="113"/>
      <c r="FS29" s="113"/>
      <c r="FT29" s="113"/>
      <c r="FU29" s="113"/>
      <c r="FV29" s="113"/>
      <c r="FW29" s="113"/>
      <c r="FX29" s="113"/>
    </row>
    <row r="30" spans="1:181"/>
    <row r="31" spans="1:181">
      <c r="B31" s="112" t="s">
        <v>360</v>
      </c>
      <c r="J31" s="121">
        <v>1</v>
      </c>
      <c r="K31" s="116">
        <v>2</v>
      </c>
      <c r="L31" s="117">
        <v>3</v>
      </c>
      <c r="M31" s="117">
        <v>4</v>
      </c>
      <c r="N31" s="117">
        <v>5</v>
      </c>
      <c r="O31" s="117">
        <v>6</v>
      </c>
      <c r="P31" s="117">
        <v>7</v>
      </c>
      <c r="Q31" s="117">
        <v>8</v>
      </c>
      <c r="R31" s="117">
        <v>9</v>
      </c>
      <c r="S31" s="117">
        <v>10</v>
      </c>
      <c r="T31" s="117">
        <v>11</v>
      </c>
      <c r="U31" s="117">
        <v>12</v>
      </c>
      <c r="V31" s="117">
        <v>13</v>
      </c>
      <c r="W31" s="117">
        <v>14</v>
      </c>
      <c r="X31" s="117">
        <v>15</v>
      </c>
      <c r="Y31" s="117">
        <v>16</v>
      </c>
      <c r="Z31" s="117">
        <v>17</v>
      </c>
      <c r="AA31" s="117">
        <v>18</v>
      </c>
      <c r="AB31" s="117">
        <v>19</v>
      </c>
      <c r="AC31" s="117">
        <v>20</v>
      </c>
      <c r="AD31" s="117">
        <v>21</v>
      </c>
      <c r="AE31" s="117">
        <v>22</v>
      </c>
      <c r="AF31" s="117">
        <v>23</v>
      </c>
      <c r="AG31" s="117">
        <v>24</v>
      </c>
      <c r="AH31" s="117">
        <v>25</v>
      </c>
      <c r="AI31" s="117">
        <v>26</v>
      </c>
      <c r="AJ31" s="117">
        <v>27</v>
      </c>
      <c r="AK31" s="117">
        <v>28</v>
      </c>
      <c r="AL31" s="117">
        <v>29</v>
      </c>
      <c r="AM31" s="117">
        <v>30</v>
      </c>
      <c r="AN31" s="117">
        <v>31</v>
      </c>
      <c r="AO31" s="117">
        <v>32</v>
      </c>
      <c r="AP31" s="117">
        <v>33</v>
      </c>
      <c r="AQ31" s="117">
        <v>34</v>
      </c>
      <c r="AR31" s="117">
        <v>35</v>
      </c>
      <c r="AS31" s="117">
        <v>36</v>
      </c>
      <c r="AT31" s="117">
        <v>37</v>
      </c>
    </row>
    <row r="32" spans="1:181">
      <c r="B32" s="112" t="s">
        <v>326</v>
      </c>
      <c r="J32" s="114">
        <v>38565</v>
      </c>
      <c r="K32" s="114">
        <v>38718</v>
      </c>
      <c r="L32" s="115">
        <v>38808</v>
      </c>
      <c r="M32" s="115">
        <v>38899</v>
      </c>
      <c r="N32" s="115">
        <v>38991</v>
      </c>
      <c r="O32" s="115">
        <v>39083</v>
      </c>
      <c r="P32" s="115">
        <v>39173</v>
      </c>
      <c r="Q32" s="115">
        <v>39264</v>
      </c>
      <c r="R32" s="115">
        <v>39356</v>
      </c>
      <c r="S32" s="115">
        <v>39448</v>
      </c>
      <c r="T32" s="115">
        <v>39539</v>
      </c>
      <c r="U32" s="115">
        <v>39630</v>
      </c>
      <c r="V32" s="115">
        <v>39722</v>
      </c>
      <c r="W32" s="115">
        <v>39814</v>
      </c>
      <c r="X32" s="115">
        <v>39904</v>
      </c>
      <c r="Y32" s="115">
        <v>39995</v>
      </c>
      <c r="Z32" s="115">
        <v>40087</v>
      </c>
      <c r="AA32" s="115">
        <v>40179</v>
      </c>
      <c r="AB32" s="115">
        <v>40269</v>
      </c>
      <c r="AC32" s="115">
        <v>40360</v>
      </c>
      <c r="AD32" s="115">
        <v>40452</v>
      </c>
      <c r="AE32" s="115">
        <v>40544</v>
      </c>
      <c r="AF32" s="115">
        <v>40634</v>
      </c>
      <c r="AG32" s="115">
        <v>40725</v>
      </c>
      <c r="AH32" s="115">
        <v>40817</v>
      </c>
      <c r="AI32" s="115">
        <v>40909</v>
      </c>
      <c r="AJ32" s="115">
        <v>41000</v>
      </c>
      <c r="AK32" s="115">
        <v>41091</v>
      </c>
      <c r="AL32" s="115">
        <v>41183</v>
      </c>
      <c r="AM32" s="115">
        <v>41275</v>
      </c>
      <c r="AN32" s="115">
        <v>41365</v>
      </c>
      <c r="AO32" s="115">
        <v>41456</v>
      </c>
      <c r="AP32" s="115">
        <v>41548</v>
      </c>
      <c r="AQ32" s="115">
        <v>41640</v>
      </c>
      <c r="AR32" s="115">
        <v>41730</v>
      </c>
      <c r="AS32" s="115">
        <v>41821</v>
      </c>
      <c r="AT32" s="115">
        <v>41913</v>
      </c>
    </row>
    <row r="33" spans="1:180">
      <c r="B33" s="112" t="s">
        <v>328</v>
      </c>
      <c r="J33" s="114">
        <v>38717</v>
      </c>
      <c r="K33" s="114">
        <v>38807</v>
      </c>
      <c r="L33" s="115">
        <v>38898</v>
      </c>
      <c r="M33" s="115">
        <v>38990</v>
      </c>
      <c r="N33" s="115">
        <v>39082</v>
      </c>
      <c r="O33" s="115">
        <v>39172</v>
      </c>
      <c r="P33" s="115">
        <v>39263</v>
      </c>
      <c r="Q33" s="115">
        <v>39355</v>
      </c>
      <c r="R33" s="115">
        <v>39447</v>
      </c>
      <c r="S33" s="115">
        <v>39538</v>
      </c>
      <c r="T33" s="115">
        <v>39629</v>
      </c>
      <c r="U33" s="115">
        <v>39721</v>
      </c>
      <c r="V33" s="115">
        <v>39813</v>
      </c>
      <c r="W33" s="115">
        <v>39903</v>
      </c>
      <c r="X33" s="115">
        <v>39994</v>
      </c>
      <c r="Y33" s="115">
        <v>40086</v>
      </c>
      <c r="Z33" s="115">
        <v>40178</v>
      </c>
      <c r="AA33" s="115">
        <v>40268</v>
      </c>
      <c r="AB33" s="115">
        <v>40359</v>
      </c>
      <c r="AC33" s="115">
        <v>40451</v>
      </c>
      <c r="AD33" s="115">
        <v>40543</v>
      </c>
      <c r="AE33" s="115">
        <v>40633</v>
      </c>
      <c r="AF33" s="115">
        <v>40724</v>
      </c>
      <c r="AG33" s="115">
        <v>40816</v>
      </c>
      <c r="AH33" s="115">
        <v>40908</v>
      </c>
      <c r="AI33" s="115">
        <v>40999</v>
      </c>
      <c r="AJ33" s="115">
        <v>41090</v>
      </c>
      <c r="AK33" s="115">
        <v>41182</v>
      </c>
      <c r="AL33" s="115">
        <v>41274</v>
      </c>
      <c r="AM33" s="115">
        <v>41364</v>
      </c>
      <c r="AN33" s="115">
        <v>41455</v>
      </c>
      <c r="AO33" s="115">
        <v>41547</v>
      </c>
      <c r="AP33" s="115">
        <v>41639</v>
      </c>
      <c r="AQ33" s="115">
        <v>41729</v>
      </c>
      <c r="AR33" s="115">
        <v>41820</v>
      </c>
      <c r="AS33" s="115">
        <v>41912</v>
      </c>
      <c r="AT33" s="115">
        <v>42004</v>
      </c>
    </row>
    <row r="34" spans="1:180">
      <c r="B34" s="112" t="s">
        <v>151</v>
      </c>
      <c r="J34" s="116">
        <v>5</v>
      </c>
      <c r="K34" s="117">
        <v>3</v>
      </c>
      <c r="L34" s="117">
        <v>3</v>
      </c>
      <c r="M34" s="117">
        <v>3</v>
      </c>
      <c r="N34" s="117">
        <v>3</v>
      </c>
      <c r="O34" s="117">
        <v>3</v>
      </c>
      <c r="P34" s="117">
        <v>3</v>
      </c>
      <c r="Q34" s="117">
        <v>3</v>
      </c>
      <c r="R34" s="117">
        <v>3</v>
      </c>
      <c r="S34" s="117">
        <v>3</v>
      </c>
      <c r="T34" s="117">
        <v>3</v>
      </c>
      <c r="U34" s="117">
        <v>3</v>
      </c>
      <c r="V34" s="117">
        <v>3</v>
      </c>
      <c r="W34" s="117">
        <v>3</v>
      </c>
      <c r="X34" s="117">
        <v>3</v>
      </c>
      <c r="Y34" s="117">
        <v>3</v>
      </c>
      <c r="Z34" s="117">
        <v>3</v>
      </c>
      <c r="AA34" s="117">
        <v>3</v>
      </c>
      <c r="AB34" s="117">
        <v>3</v>
      </c>
      <c r="AC34" s="117">
        <v>3</v>
      </c>
      <c r="AD34" s="117">
        <v>3</v>
      </c>
      <c r="AE34" s="117">
        <v>3</v>
      </c>
      <c r="AF34" s="117">
        <v>3</v>
      </c>
      <c r="AG34" s="117">
        <v>3</v>
      </c>
      <c r="AH34" s="117">
        <v>3</v>
      </c>
      <c r="AI34" s="117">
        <v>3</v>
      </c>
      <c r="AJ34" s="117">
        <v>3</v>
      </c>
      <c r="AK34" s="117">
        <v>3</v>
      </c>
      <c r="AL34" s="117">
        <v>3</v>
      </c>
      <c r="AM34" s="117">
        <v>3</v>
      </c>
      <c r="AN34" s="117">
        <v>3</v>
      </c>
      <c r="AO34" s="117">
        <v>3</v>
      </c>
      <c r="AP34" s="117">
        <v>3</v>
      </c>
      <c r="AQ34" s="117">
        <v>3</v>
      </c>
      <c r="AR34" s="117">
        <v>3</v>
      </c>
      <c r="AS34" s="117">
        <v>3</v>
      </c>
      <c r="AT34" s="117">
        <v>3</v>
      </c>
    </row>
    <row r="35" spans="1:180">
      <c r="B35" s="112" t="s">
        <v>361</v>
      </c>
      <c r="J35" s="121" t="s">
        <v>362</v>
      </c>
      <c r="K35" s="116" t="s">
        <v>383</v>
      </c>
      <c r="L35" s="117" t="s">
        <v>384</v>
      </c>
      <c r="M35" s="117" t="s">
        <v>385</v>
      </c>
      <c r="N35" s="117" t="s">
        <v>386</v>
      </c>
      <c r="O35" s="117" t="s">
        <v>387</v>
      </c>
      <c r="P35" s="117" t="s">
        <v>388</v>
      </c>
      <c r="Q35" s="117" t="s">
        <v>389</v>
      </c>
      <c r="R35" s="117" t="s">
        <v>390</v>
      </c>
      <c r="S35" s="117" t="s">
        <v>391</v>
      </c>
      <c r="T35" s="117" t="s">
        <v>392</v>
      </c>
      <c r="U35" s="117" t="s">
        <v>393</v>
      </c>
      <c r="V35" s="117" t="s">
        <v>394</v>
      </c>
      <c r="W35" s="117" t="s">
        <v>395</v>
      </c>
      <c r="X35" s="117" t="s">
        <v>396</v>
      </c>
      <c r="Y35" s="117" t="s">
        <v>397</v>
      </c>
      <c r="Z35" s="117" t="s">
        <v>398</v>
      </c>
      <c r="AA35" s="117" t="s">
        <v>399</v>
      </c>
      <c r="AB35" s="117" t="s">
        <v>400</v>
      </c>
      <c r="AC35" s="117" t="s">
        <v>401</v>
      </c>
      <c r="AD35" s="117" t="s">
        <v>402</v>
      </c>
      <c r="AE35" s="117" t="s">
        <v>403</v>
      </c>
      <c r="AF35" s="117" t="s">
        <v>404</v>
      </c>
      <c r="AG35" s="117" t="s">
        <v>405</v>
      </c>
      <c r="AH35" s="117" t="s">
        <v>406</v>
      </c>
      <c r="AI35" s="117" t="s">
        <v>407</v>
      </c>
      <c r="AJ35" s="117" t="s">
        <v>408</v>
      </c>
      <c r="AK35" s="117" t="s">
        <v>409</v>
      </c>
      <c r="AL35" s="117" t="s">
        <v>410</v>
      </c>
      <c r="AM35" s="117" t="s">
        <v>411</v>
      </c>
      <c r="AN35" s="117" t="s">
        <v>412</v>
      </c>
      <c r="AO35" s="117" t="s">
        <v>413</v>
      </c>
      <c r="AP35" s="117" t="s">
        <v>414</v>
      </c>
      <c r="AQ35" s="117" t="s">
        <v>415</v>
      </c>
      <c r="AR35" s="117" t="s">
        <v>416</v>
      </c>
      <c r="AS35" s="117" t="s">
        <v>417</v>
      </c>
      <c r="AT35" s="117" t="s">
        <v>418</v>
      </c>
    </row>
    <row r="36" spans="1:180">
      <c r="B36" s="124" t="s">
        <v>345</v>
      </c>
      <c r="J36" s="125">
        <v>2984033</v>
      </c>
    </row>
    <row r="37" spans="1:180">
      <c r="A37" s="126" t="s">
        <v>101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26"/>
      <c r="BH37" s="126"/>
      <c r="BI37" s="126"/>
      <c r="BJ37" s="126"/>
      <c r="BK37" s="126"/>
      <c r="BL37" s="126"/>
      <c r="BM37" s="126"/>
      <c r="BN37" s="126"/>
      <c r="BO37" s="126"/>
      <c r="BP37" s="126"/>
      <c r="BQ37" s="126"/>
      <c r="BR37" s="126"/>
      <c r="BS37" s="126"/>
      <c r="BT37" s="126"/>
      <c r="BU37" s="126"/>
      <c r="BV37" s="126"/>
      <c r="BW37" s="126"/>
      <c r="BX37" s="126"/>
      <c r="BY37" s="126"/>
      <c r="BZ37" s="126"/>
      <c r="CA37" s="126"/>
      <c r="CB37" s="126"/>
      <c r="CC37" s="126"/>
      <c r="CD37" s="126"/>
      <c r="CE37" s="126"/>
      <c r="CF37" s="126"/>
      <c r="CG37" s="126"/>
      <c r="CH37" s="126"/>
      <c r="CI37" s="126"/>
      <c r="CJ37" s="126"/>
      <c r="CK37" s="126"/>
      <c r="CL37" s="126"/>
      <c r="CM37" s="126"/>
      <c r="CN37" s="126"/>
      <c r="CO37" s="126"/>
      <c r="CP37" s="126"/>
      <c r="CQ37" s="126"/>
      <c r="CR37" s="126"/>
      <c r="CS37" s="126"/>
      <c r="CT37" s="126"/>
      <c r="CU37" s="126"/>
      <c r="CV37" s="126"/>
      <c r="CW37" s="126"/>
      <c r="CX37" s="126"/>
      <c r="CY37" s="126"/>
      <c r="CZ37" s="126"/>
      <c r="DA37" s="126"/>
      <c r="DB37" s="126"/>
      <c r="DC37" s="126"/>
      <c r="DD37" s="126"/>
      <c r="DE37" s="126"/>
      <c r="DF37" s="126"/>
      <c r="DG37" s="126"/>
      <c r="DH37" s="126"/>
      <c r="DI37" s="126"/>
      <c r="DJ37" s="126"/>
      <c r="DK37" s="126"/>
      <c r="DL37" s="126"/>
      <c r="DM37" s="126"/>
      <c r="DN37" s="126"/>
      <c r="DO37" s="126"/>
      <c r="DP37" s="126"/>
      <c r="DQ37" s="126"/>
      <c r="DR37" s="126"/>
      <c r="DS37" s="126"/>
      <c r="DT37" s="126"/>
      <c r="DU37" s="126"/>
      <c r="DV37" s="126"/>
      <c r="DW37" s="126"/>
      <c r="DX37" s="126"/>
      <c r="DY37" s="126"/>
      <c r="DZ37" s="126"/>
      <c r="EA37" s="126"/>
      <c r="EB37" s="126"/>
      <c r="EC37" s="126"/>
      <c r="ED37" s="126"/>
      <c r="EE37" s="126"/>
      <c r="EF37" s="126"/>
      <c r="EG37" s="126"/>
      <c r="EH37" s="126"/>
      <c r="EI37" s="126"/>
      <c r="EJ37" s="126"/>
      <c r="EK37" s="126"/>
      <c r="EL37" s="126"/>
      <c r="EM37" s="126"/>
      <c r="EN37" s="126"/>
      <c r="EO37" s="126"/>
      <c r="EP37" s="126"/>
      <c r="EQ37" s="126"/>
      <c r="ER37" s="126"/>
      <c r="ES37" s="126"/>
      <c r="ET37" s="126"/>
      <c r="EU37" s="126"/>
      <c r="EV37" s="126"/>
      <c r="EW37" s="126"/>
      <c r="EX37" s="126"/>
      <c r="EY37" s="126"/>
      <c r="EZ37" s="126"/>
      <c r="FA37" s="126"/>
      <c r="FB37" s="126"/>
      <c r="FC37" s="126"/>
      <c r="FD37" s="126"/>
      <c r="FE37" s="126"/>
      <c r="FF37" s="126"/>
      <c r="FG37" s="126"/>
      <c r="FH37" s="126"/>
      <c r="FI37" s="126"/>
      <c r="FJ37" s="126"/>
      <c r="FK37" s="126"/>
      <c r="FL37" s="126"/>
      <c r="FM37" s="126"/>
      <c r="FN37" s="126"/>
      <c r="FO37" s="126"/>
      <c r="FP37" s="126"/>
      <c r="FQ37" s="126"/>
      <c r="FR37" s="126"/>
      <c r="FS37" s="126"/>
      <c r="FT37" s="126"/>
      <c r="FU37" s="126"/>
      <c r="FV37" s="126"/>
      <c r="FW37" s="126"/>
      <c r="FX37" s="126"/>
    </row>
    <row r="38" spans="1:180"/>
    <row r="39" spans="1:180"/>
    <row r="40" spans="1:180"/>
    <row r="41" spans="1:180"/>
    <row r="42" spans="1:180"/>
    <row r="43" spans="1:180"/>
    <row r="44" spans="1:180"/>
    <row r="45" spans="1:180"/>
    <row r="46" spans="1:180"/>
    <row r="47" spans="1:180"/>
    <row r="48" spans="1:180"/>
    <row r="49"/>
    <row r="50"/>
  </sheetData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 fitToPage="1"/>
  </sheetPr>
  <dimension ref="A1:O41"/>
  <sheetViews>
    <sheetView showGridLines="0" zoomScale="87" zoomScaleNormal="87" workbookViewId="0">
      <pane ySplit="9" topLeftCell="A10" activePane="bottomLeft" state="frozen"/>
      <selection pane="bottomLeft" activeCell="K36" sqref="K36"/>
    </sheetView>
  </sheetViews>
  <sheetFormatPr defaultColWidth="0" defaultRowHeight="0" customHeight="1" zeroHeight="1"/>
  <cols>
    <col min="1" max="1" width="13.7109375" style="129" customWidth="1"/>
    <col min="2" max="2" width="27" style="129" customWidth="1"/>
    <col min="3" max="3" width="16.5703125" style="129" customWidth="1"/>
    <col min="4" max="4" width="25" style="129" customWidth="1"/>
    <col min="5" max="15" width="9.140625" style="129" customWidth="1"/>
    <col min="16" max="16384" width="0" style="129" hidden="1"/>
  </cols>
  <sheetData>
    <row r="1" spans="1:15" ht="15">
      <c r="A1" s="128" t="s">
        <v>481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5" ht="12.75">
      <c r="A2" s="130" t="s">
        <v>2</v>
      </c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</row>
    <row r="3" spans="1:15" ht="12.75">
      <c r="A3" s="131" t="s">
        <v>480</v>
      </c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</row>
    <row r="4" spans="1:15" ht="12.75">
      <c r="A4" s="131" t="s">
        <v>482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</row>
    <row r="5" spans="1:15" ht="12.75">
      <c r="A5" s="132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</row>
    <row r="6" spans="1:15" ht="12.75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</row>
    <row r="7" spans="1:15" ht="12.75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</row>
    <row r="8" spans="1:15" ht="12.75" hidden="1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</row>
    <row r="9" spans="1:15" ht="12.75" hidden="1">
      <c r="A9" s="131"/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</row>
    <row r="10" spans="1:15" ht="12.75">
      <c r="A10" s="133" t="s">
        <v>464</v>
      </c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5"/>
      <c r="N10" s="135"/>
      <c r="O10" s="135"/>
    </row>
    <row r="11" spans="1:15" ht="12.75">
      <c r="A11" s="131"/>
      <c r="B11" s="131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</row>
    <row r="12" spans="1:15" ht="15">
      <c r="A12" s="131"/>
      <c r="B12" s="131"/>
      <c r="C12" s="144" t="s">
        <v>465</v>
      </c>
      <c r="D12" s="145" t="s">
        <v>29</v>
      </c>
      <c r="E12" s="131"/>
      <c r="F12" s="131"/>
      <c r="G12" s="131"/>
      <c r="H12" s="131"/>
      <c r="I12" s="131"/>
      <c r="J12" s="131"/>
      <c r="K12" s="131"/>
      <c r="L12" s="131"/>
      <c r="M12" s="131"/>
    </row>
    <row r="13" spans="1:15" ht="12.75">
      <c r="A13" s="136" t="s">
        <v>466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</row>
    <row r="14" spans="1:15" ht="12.75">
      <c r="A14" s="131"/>
      <c r="B14" s="131" t="s">
        <v>467</v>
      </c>
      <c r="C14" s="137">
        <v>12000</v>
      </c>
      <c r="D14" s="131" t="s">
        <v>483</v>
      </c>
      <c r="E14" s="131"/>
      <c r="F14" s="131"/>
      <c r="G14" s="131"/>
      <c r="H14" s="131"/>
      <c r="I14" s="131"/>
      <c r="J14" s="131"/>
      <c r="K14" s="131"/>
      <c r="L14" s="131"/>
      <c r="M14" s="131"/>
    </row>
    <row r="15" spans="1:15" ht="12.75">
      <c r="A15" s="131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</row>
    <row r="16" spans="1:15" ht="12.75">
      <c r="A16" s="131"/>
      <c r="B16" s="131" t="s">
        <v>468</v>
      </c>
      <c r="C16" s="146" t="s">
        <v>468</v>
      </c>
      <c r="D16" s="131" t="s">
        <v>484</v>
      </c>
      <c r="E16" s="131"/>
      <c r="F16" s="131"/>
      <c r="G16" s="131"/>
      <c r="H16" s="131"/>
      <c r="I16" s="131"/>
      <c r="J16" s="131"/>
      <c r="K16" s="131"/>
      <c r="L16" s="131"/>
      <c r="M16" s="131"/>
    </row>
    <row r="17" spans="1:13" ht="12.75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</row>
    <row r="18" spans="1:13" ht="12.75">
      <c r="A18" s="131"/>
      <c r="B18" s="131" t="s">
        <v>587</v>
      </c>
      <c r="C18" s="147" t="s">
        <v>469</v>
      </c>
      <c r="D18" s="131" t="s">
        <v>588</v>
      </c>
      <c r="E18" s="131"/>
      <c r="F18" s="131"/>
      <c r="G18" s="131"/>
      <c r="H18" s="131"/>
      <c r="I18" s="131"/>
      <c r="J18" s="131"/>
      <c r="K18" s="131"/>
      <c r="L18" s="131"/>
      <c r="M18" s="131"/>
    </row>
    <row r="19" spans="1:13" ht="12.75">
      <c r="A19" s="131"/>
      <c r="B19" s="131"/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</row>
    <row r="20" spans="1:13" ht="12.75">
      <c r="A20" s="131"/>
      <c r="B20" s="131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</row>
    <row r="21" spans="1:13" ht="12.75">
      <c r="A21" s="136" t="s">
        <v>470</v>
      </c>
      <c r="B21" s="131"/>
      <c r="C21" s="131"/>
      <c r="D21" s="131"/>
      <c r="E21" s="131"/>
      <c r="F21" s="131"/>
      <c r="G21" s="131"/>
      <c r="H21" s="131"/>
      <c r="I21" s="131"/>
      <c r="J21" s="131"/>
      <c r="K21" s="131"/>
      <c r="L21" s="131"/>
      <c r="M21" s="131"/>
    </row>
    <row r="22" spans="1:13" ht="12.75">
      <c r="A22" s="131"/>
      <c r="B22" s="131" t="s">
        <v>471</v>
      </c>
      <c r="C22" s="138">
        <f>1+2</f>
        <v>3</v>
      </c>
      <c r="D22" s="131" t="s">
        <v>472</v>
      </c>
      <c r="E22" s="131"/>
      <c r="F22" s="131"/>
      <c r="G22" s="131"/>
      <c r="H22" s="131"/>
      <c r="I22" s="131"/>
      <c r="J22" s="131"/>
      <c r="K22" s="131"/>
      <c r="L22" s="131"/>
      <c r="M22" s="131"/>
    </row>
    <row r="23" spans="1:13" ht="12.75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</row>
    <row r="24" spans="1:13" ht="12.75">
      <c r="A24" s="131"/>
      <c r="B24" s="131" t="s">
        <v>473</v>
      </c>
      <c r="C24" s="139">
        <f>1+2</f>
        <v>3</v>
      </c>
      <c r="D24" s="131" t="s">
        <v>474</v>
      </c>
      <c r="E24" s="131"/>
      <c r="F24" s="131"/>
      <c r="G24" s="131"/>
      <c r="H24" s="131"/>
      <c r="I24" s="131"/>
      <c r="J24" s="131"/>
      <c r="K24" s="131"/>
      <c r="L24" s="131"/>
      <c r="M24" s="131"/>
    </row>
    <row r="25" spans="1:13" ht="12.75">
      <c r="A25" s="131"/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</row>
    <row r="26" spans="1:13" ht="12.75">
      <c r="A26" s="131"/>
      <c r="B26" s="131" t="s">
        <v>475</v>
      </c>
      <c r="C26" s="148">
        <v>123</v>
      </c>
      <c r="D26" s="131" t="s">
        <v>476</v>
      </c>
      <c r="E26" s="131"/>
      <c r="F26" s="131"/>
      <c r="G26" s="131"/>
      <c r="H26" s="131"/>
      <c r="I26" s="131"/>
      <c r="J26" s="131"/>
      <c r="K26" s="131"/>
      <c r="L26" s="131"/>
      <c r="M26" s="131"/>
    </row>
    <row r="27" spans="1:13" ht="12.75">
      <c r="A27" s="131"/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</row>
    <row r="28" spans="1:13" ht="12.75">
      <c r="A28" s="131"/>
      <c r="B28" s="131" t="s">
        <v>579</v>
      </c>
      <c r="C28" s="140">
        <v>0</v>
      </c>
      <c r="D28" s="131" t="s">
        <v>477</v>
      </c>
      <c r="E28" s="131"/>
      <c r="F28" s="131"/>
      <c r="G28" s="131"/>
      <c r="H28" s="131"/>
      <c r="I28" s="131"/>
      <c r="J28" s="131"/>
      <c r="K28" s="131"/>
      <c r="L28" s="131"/>
      <c r="M28" s="131"/>
    </row>
    <row r="29" spans="1:13" ht="12.75">
      <c r="A29" s="131"/>
      <c r="B29" s="131" t="s">
        <v>579</v>
      </c>
      <c r="C29" s="140">
        <v>-1</v>
      </c>
      <c r="D29" s="131" t="s">
        <v>477</v>
      </c>
      <c r="E29" s="131"/>
      <c r="F29" s="131"/>
      <c r="G29" s="131"/>
      <c r="H29" s="131"/>
      <c r="I29" s="131"/>
      <c r="J29" s="131"/>
      <c r="K29" s="131"/>
      <c r="L29" s="131"/>
      <c r="M29" s="131"/>
    </row>
    <row r="30" spans="1:13" ht="12.75">
      <c r="A30" s="131"/>
      <c r="B30" s="131" t="s">
        <v>579</v>
      </c>
      <c r="C30" s="140">
        <v>1</v>
      </c>
      <c r="D30" s="131" t="s">
        <v>477</v>
      </c>
      <c r="E30" s="131"/>
      <c r="F30" s="131"/>
      <c r="G30" s="131"/>
      <c r="H30" s="131"/>
      <c r="I30" s="131"/>
      <c r="J30" s="131"/>
      <c r="K30" s="131"/>
      <c r="L30" s="131"/>
      <c r="M30" s="131"/>
    </row>
    <row r="31" spans="1:13" ht="12.75">
      <c r="A31" s="131"/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</row>
    <row r="32" spans="1:13" ht="12.75">
      <c r="A32" s="136" t="s">
        <v>68</v>
      </c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</row>
    <row r="33" spans="1:15" ht="12.75">
      <c r="A33" s="136"/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</row>
    <row r="34" spans="1:15" ht="12.75">
      <c r="A34" s="136"/>
      <c r="B34" s="131" t="s">
        <v>478</v>
      </c>
      <c r="C34" s="149">
        <v>0</v>
      </c>
      <c r="D34" s="131" t="s">
        <v>479</v>
      </c>
      <c r="E34" s="131"/>
      <c r="F34" s="131"/>
      <c r="G34" s="131"/>
      <c r="H34" s="131"/>
      <c r="I34" s="131"/>
      <c r="J34" s="131"/>
      <c r="K34" s="131"/>
      <c r="L34" s="131"/>
      <c r="M34" s="131"/>
    </row>
    <row r="35" spans="1:15" ht="12.75">
      <c r="A35" s="136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</row>
    <row r="36" spans="1:15" ht="12.75">
      <c r="A36" s="131"/>
      <c r="B36" s="131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</row>
    <row r="37" spans="1:15" ht="12.75">
      <c r="A37" s="141" t="s">
        <v>544</v>
      </c>
      <c r="B37" s="141"/>
      <c r="C37" s="141"/>
      <c r="D37" s="141"/>
      <c r="E37" s="141"/>
      <c r="F37" s="141"/>
      <c r="G37" s="141"/>
      <c r="H37" s="141"/>
      <c r="I37" s="142"/>
      <c r="J37" s="142"/>
      <c r="K37" s="142"/>
      <c r="L37" s="142"/>
      <c r="M37" s="143"/>
      <c r="N37" s="143"/>
      <c r="O37" s="143"/>
    </row>
    <row r="38" spans="1:15" ht="12.75" hidden="1">
      <c r="A38" s="132"/>
    </row>
    <row r="39" spans="1:15" ht="12.75" hidden="1">
      <c r="A39" s="132"/>
    </row>
    <row r="40" spans="1:15" ht="12.75"/>
    <row r="41" spans="1:15" ht="12.75"/>
  </sheetData>
  <sheetProtection autoFilter="0"/>
  <conditionalFormatting sqref="A1:O1">
    <cfRule type="expression" dxfId="62" priority="1" stopIfTrue="1">
      <formula>ErrorsPresent&gt;0</formula>
    </cfRule>
    <cfRule type="expression" dxfId="61" priority="2" stopIfTrue="1">
      <formula>ErrorsPresent&lt;0</formula>
    </cfRule>
  </conditionalFormatting>
  <conditionalFormatting sqref="C28:C30">
    <cfRule type="cellIs" dxfId="60" priority="3" stopIfTrue="1" operator="greaterThan">
      <formula>0</formula>
    </cfRule>
    <cfRule type="cellIs" dxfId="59" priority="4" stopIfTrue="1" operator="lessThan">
      <formula>0</formula>
    </cfRule>
  </conditionalFormatting>
  <dataValidations disablePrompts="1" count="1">
    <dataValidation type="list" allowBlank="1" showInputMessage="1" showErrorMessage="1" sqref="C18">
      <formula1>"List1,List2,List3"</formula1>
    </dataValidation>
  </dataValidations>
  <pageMargins left="0.4" right="0.4" top="1" bottom="1" header="0.5" footer="0.5"/>
  <pageSetup scale="85" orientation="landscape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I23"/>
  <sheetViews>
    <sheetView showGridLines="0" zoomScale="87" zoomScaleNormal="87" workbookViewId="0">
      <pane ySplit="5" topLeftCell="A6" activePane="bottomLeft" state="frozen"/>
      <selection pane="bottomLeft" sqref="A1:A4"/>
    </sheetView>
  </sheetViews>
  <sheetFormatPr defaultColWidth="0" defaultRowHeight="0" customHeight="1" zeroHeight="1"/>
  <cols>
    <col min="1" max="1" width="13.7109375" style="129" customWidth="1"/>
    <col min="2" max="2" width="27" style="129" customWidth="1"/>
    <col min="3" max="3" width="13.5703125" style="129" customWidth="1"/>
    <col min="4" max="4" width="15.140625" style="129" customWidth="1"/>
    <col min="5" max="8" width="9.140625" style="129" customWidth="1"/>
    <col min="9" max="9" width="9.140625" style="129" hidden="1" customWidth="1"/>
    <col min="10" max="16384" width="0" style="129" hidden="1"/>
  </cols>
  <sheetData>
    <row r="1" spans="1:9" ht="15">
      <c r="A1" s="128" t="s">
        <v>481</v>
      </c>
      <c r="B1" s="128"/>
      <c r="C1" s="127">
        <v>0</v>
      </c>
      <c r="D1" s="128"/>
      <c r="E1" s="128"/>
      <c r="F1" s="128"/>
      <c r="G1" s="128"/>
      <c r="H1" s="128"/>
      <c r="I1" s="128"/>
    </row>
    <row r="2" spans="1:9" ht="12.75">
      <c r="A2" s="130" t="s">
        <v>2</v>
      </c>
      <c r="B2" s="131"/>
      <c r="C2" s="131"/>
      <c r="D2" s="131"/>
      <c r="E2" s="131"/>
      <c r="F2" s="131"/>
      <c r="G2" s="131"/>
      <c r="H2" s="131"/>
      <c r="I2" s="131"/>
    </row>
    <row r="3" spans="1:9" ht="12.75">
      <c r="A3" s="131" t="s">
        <v>480</v>
      </c>
      <c r="B3" s="131"/>
      <c r="C3" s="131"/>
      <c r="D3" s="131"/>
      <c r="E3" s="131"/>
      <c r="F3" s="131"/>
      <c r="G3" s="131"/>
      <c r="H3" s="131"/>
      <c r="I3" s="131"/>
    </row>
    <row r="4" spans="1:9" ht="12.75">
      <c r="A4" s="131" t="s">
        <v>482</v>
      </c>
      <c r="B4" s="131"/>
      <c r="C4" s="131"/>
      <c r="D4" s="131"/>
      <c r="E4" s="131"/>
      <c r="F4" s="131"/>
      <c r="G4" s="131"/>
      <c r="H4" s="131"/>
      <c r="I4" s="131"/>
    </row>
    <row r="5" spans="1:9" ht="12.75">
      <c r="A5" s="132"/>
      <c r="B5" s="131"/>
      <c r="C5" s="131"/>
      <c r="D5" s="131"/>
      <c r="E5" s="131"/>
      <c r="F5" s="131"/>
      <c r="G5" s="131"/>
      <c r="H5" s="131"/>
      <c r="I5" s="131"/>
    </row>
    <row r="6" spans="1:9" ht="12.75">
      <c r="A6" s="133" t="s">
        <v>485</v>
      </c>
      <c r="B6" s="134"/>
      <c r="C6" s="134"/>
      <c r="D6" s="134"/>
      <c r="E6" s="134"/>
      <c r="F6" s="134"/>
      <c r="G6" s="134"/>
      <c r="H6" s="134"/>
      <c r="I6" s="134"/>
    </row>
    <row r="7" spans="1:9" ht="12.75">
      <c r="A7" s="131"/>
      <c r="B7" s="131"/>
      <c r="C7" s="131"/>
      <c r="D7" s="131"/>
      <c r="E7" s="131"/>
      <c r="F7" s="131"/>
      <c r="G7" s="131"/>
      <c r="H7" s="131"/>
      <c r="I7" s="131"/>
    </row>
    <row r="8" spans="1:9" ht="15">
      <c r="A8"/>
      <c r="B8"/>
      <c r="C8"/>
      <c r="D8"/>
      <c r="E8"/>
      <c r="F8"/>
      <c r="G8"/>
      <c r="H8"/>
      <c r="I8"/>
    </row>
    <row r="9" spans="1:9" ht="15">
      <c r="A9"/>
      <c r="B9"/>
      <c r="C9"/>
      <c r="D9"/>
      <c r="E9"/>
      <c r="F9"/>
      <c r="G9"/>
      <c r="H9"/>
      <c r="I9"/>
    </row>
    <row r="10" spans="1:9" ht="15">
      <c r="A10"/>
      <c r="B10"/>
      <c r="C10"/>
      <c r="D10"/>
      <c r="E10"/>
      <c r="F10"/>
      <c r="G10"/>
      <c r="H10"/>
      <c r="I10"/>
    </row>
    <row r="11" spans="1:9" ht="15">
      <c r="A11"/>
      <c r="B11"/>
      <c r="C11"/>
      <c r="D11"/>
      <c r="E11"/>
      <c r="F11"/>
      <c r="G11"/>
      <c r="H11"/>
      <c r="I11"/>
    </row>
    <row r="12" spans="1:9" ht="15">
      <c r="A12"/>
      <c r="B12"/>
      <c r="C12"/>
      <c r="D12"/>
      <c r="E12"/>
      <c r="F12"/>
      <c r="G12"/>
      <c r="H12"/>
      <c r="I12"/>
    </row>
    <row r="13" spans="1:9" ht="15">
      <c r="A13"/>
      <c r="B13"/>
      <c r="C13"/>
      <c r="D13"/>
      <c r="E13"/>
      <c r="F13"/>
      <c r="G13"/>
      <c r="H13"/>
      <c r="I13"/>
    </row>
    <row r="14" spans="1:9" ht="15">
      <c r="A14"/>
      <c r="B14"/>
      <c r="C14"/>
      <c r="D14"/>
      <c r="E14"/>
      <c r="F14"/>
      <c r="G14"/>
      <c r="H14"/>
      <c r="I14"/>
    </row>
    <row r="15" spans="1:9" ht="15">
      <c r="A15"/>
      <c r="B15"/>
      <c r="C15"/>
      <c r="D15"/>
      <c r="E15"/>
      <c r="F15"/>
      <c r="G15"/>
      <c r="H15"/>
      <c r="I15"/>
    </row>
    <row r="16" spans="1:9" ht="15">
      <c r="A16"/>
      <c r="B16"/>
      <c r="C16"/>
      <c r="D16"/>
      <c r="E16"/>
      <c r="F16"/>
      <c r="G16"/>
      <c r="H16"/>
      <c r="I16"/>
    </row>
    <row r="17" spans="1:9" ht="15">
      <c r="A17"/>
      <c r="B17"/>
      <c r="C17"/>
      <c r="D17"/>
      <c r="E17"/>
      <c r="F17"/>
      <c r="G17"/>
      <c r="H17"/>
      <c r="I17"/>
    </row>
    <row r="18" spans="1:9" ht="12.75">
      <c r="A18" s="131"/>
      <c r="B18" s="131"/>
      <c r="C18" s="131"/>
      <c r="D18" s="131"/>
      <c r="E18" s="131"/>
      <c r="F18" s="131"/>
      <c r="G18" s="131"/>
      <c r="H18" s="131"/>
      <c r="I18" s="131"/>
    </row>
    <row r="19" spans="1:9" ht="12.75">
      <c r="A19" s="141" t="s">
        <v>486</v>
      </c>
      <c r="B19" s="141"/>
      <c r="C19" s="141"/>
      <c r="D19" s="141"/>
      <c r="E19" s="141"/>
      <c r="F19" s="141"/>
      <c r="G19" s="141"/>
      <c r="H19" s="141"/>
      <c r="I19" s="142"/>
    </row>
    <row r="20" spans="1:9" ht="12.75" hidden="1">
      <c r="A20" s="132"/>
    </row>
    <row r="21" spans="1:9" ht="12.75" hidden="1">
      <c r="A21" s="132"/>
    </row>
    <row r="22" spans="1:9" ht="12.75"/>
    <row r="23" spans="1:9" ht="12.75"/>
  </sheetData>
  <sheetProtection autoFilter="0"/>
  <conditionalFormatting sqref="A1:B1 D1:I1">
    <cfRule type="expression" dxfId="58" priority="3" stopIfTrue="1">
      <formula>ErrorsPresent&gt;0</formula>
    </cfRule>
    <cfRule type="expression" dxfId="57" priority="4" stopIfTrue="1">
      <formula>ErrorsPresent&lt;0</formula>
    </cfRule>
  </conditionalFormatting>
  <conditionalFormatting sqref="C1">
    <cfRule type="cellIs" dxfId="56" priority="1" stopIfTrue="1" operator="greaterThan">
      <formula>0</formula>
    </cfRule>
    <cfRule type="cellIs" dxfId="55" priority="2" stopIfTrue="1" operator="lessThan">
      <formula>0</formula>
    </cfRule>
  </conditionalFormatting>
  <pageMargins left="0.4" right="0.4" top="1" bottom="1" header="0.5" footer="0.5"/>
  <pageSetup scale="85" orientation="landscape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55"/>
  <sheetViews>
    <sheetView showGridLines="0" zoomScale="90" zoomScaleNormal="90" workbookViewId="0">
      <selection activeCell="H28" sqref="H28"/>
    </sheetView>
  </sheetViews>
  <sheetFormatPr defaultColWidth="0" defaultRowHeight="15"/>
  <cols>
    <col min="1" max="1" width="9.140625" customWidth="1"/>
    <col min="2" max="2" width="14.7109375" customWidth="1"/>
    <col min="3" max="3" width="38.28515625" customWidth="1"/>
    <col min="4" max="5" width="9.140625" customWidth="1"/>
    <col min="6" max="6" width="31" customWidth="1"/>
    <col min="7" max="7" width="16.7109375" customWidth="1"/>
    <col min="8" max="8" width="13.28515625" bestFit="1" customWidth="1"/>
    <col min="9" max="9" width="5" customWidth="1"/>
    <col min="10" max="10" width="4.5703125" customWidth="1"/>
    <col min="11" max="16384" width="9.140625" hidden="1"/>
  </cols>
  <sheetData>
    <row r="1" spans="1:9">
      <c r="A1" s="2" t="s">
        <v>481</v>
      </c>
      <c r="B1" s="2"/>
      <c r="C1" s="2"/>
      <c r="D1" s="2"/>
      <c r="E1" s="3">
        <v>0</v>
      </c>
      <c r="F1" s="2"/>
      <c r="G1" s="2"/>
      <c r="H1" s="2"/>
      <c r="I1" s="2"/>
    </row>
    <row r="2" spans="1:9">
      <c r="A2" s="130" t="s">
        <v>2</v>
      </c>
    </row>
    <row r="3" spans="1:9">
      <c r="A3" s="131" t="s">
        <v>480</v>
      </c>
    </row>
    <row r="4" spans="1:9">
      <c r="A4" s="131" t="s">
        <v>482</v>
      </c>
    </row>
    <row r="7" spans="1:9">
      <c r="A7" s="6"/>
      <c r="B7" s="7" t="s">
        <v>1</v>
      </c>
      <c r="C7" s="7"/>
      <c r="D7" s="7"/>
      <c r="E7" s="7"/>
      <c r="F7" s="7"/>
      <c r="G7" s="7"/>
      <c r="H7" s="7"/>
      <c r="I7" s="7"/>
    </row>
    <row r="8" spans="1:9">
      <c r="A8" s="6"/>
    </row>
    <row r="9" spans="1:9">
      <c r="A9" s="6"/>
      <c r="B9" s="4" t="s">
        <v>589</v>
      </c>
      <c r="F9" s="10" t="s">
        <v>580</v>
      </c>
      <c r="G9" s="11" t="s">
        <v>3</v>
      </c>
    </row>
    <row r="10" spans="1:9">
      <c r="A10" s="6"/>
      <c r="B10" s="4" t="s">
        <v>590</v>
      </c>
      <c r="F10" s="10" t="s">
        <v>33</v>
      </c>
      <c r="G10" s="11" t="s">
        <v>5</v>
      </c>
    </row>
    <row r="11" spans="1:9">
      <c r="A11" s="6"/>
      <c r="B11" s="4" t="s">
        <v>591</v>
      </c>
      <c r="F11" s="10"/>
      <c r="G11" s="11" t="s">
        <v>7</v>
      </c>
    </row>
    <row r="12" spans="1:9">
      <c r="A12" s="6"/>
      <c r="B12" s="4" t="s">
        <v>592</v>
      </c>
      <c r="F12" s="10"/>
      <c r="G12" s="11" t="s">
        <v>9</v>
      </c>
    </row>
    <row r="13" spans="1:9">
      <c r="A13" s="6"/>
      <c r="B13" s="4" t="s">
        <v>10</v>
      </c>
      <c r="F13" s="10"/>
    </row>
    <row r="14" spans="1:9">
      <c r="A14" s="6"/>
      <c r="B14" s="7" t="s">
        <v>13</v>
      </c>
      <c r="C14" s="7"/>
      <c r="D14" s="7"/>
      <c r="E14" s="7"/>
      <c r="F14" s="7"/>
      <c r="G14" s="7"/>
      <c r="H14" s="7"/>
      <c r="I14" s="7"/>
    </row>
    <row r="15" spans="1:9">
      <c r="A15" s="6"/>
    </row>
    <row r="16" spans="1:9">
      <c r="A16" s="6"/>
      <c r="B16" s="4" t="s">
        <v>593</v>
      </c>
      <c r="F16" s="10">
        <v>5</v>
      </c>
      <c r="G16" s="11" t="s">
        <v>15</v>
      </c>
    </row>
    <row r="17" spans="1:9">
      <c r="A17" s="6"/>
      <c r="B17" s="4" t="s">
        <v>594</v>
      </c>
      <c r="F17" s="10">
        <v>144</v>
      </c>
      <c r="G17" s="11" t="s">
        <v>17</v>
      </c>
    </row>
    <row r="18" spans="1:9">
      <c r="A18" s="6"/>
      <c r="B18" s="4"/>
      <c r="G18" s="11"/>
    </row>
    <row r="19" spans="1:9">
      <c r="A19" s="6"/>
      <c r="B19" s="4" t="s">
        <v>595</v>
      </c>
      <c r="F19" s="13">
        <v>38718</v>
      </c>
      <c r="G19" s="11" t="s">
        <v>19</v>
      </c>
    </row>
    <row r="20" spans="1:9">
      <c r="A20" s="6"/>
      <c r="B20" s="4" t="s">
        <v>596</v>
      </c>
      <c r="F20" s="14">
        <v>43100</v>
      </c>
      <c r="G20" s="11" t="s">
        <v>21</v>
      </c>
    </row>
    <row r="21" spans="1:9">
      <c r="A21" s="6"/>
      <c r="B21" s="4"/>
      <c r="G21" s="11"/>
    </row>
    <row r="22" spans="1:9">
      <c r="A22" s="6"/>
      <c r="B22" s="4" t="s">
        <v>597</v>
      </c>
      <c r="F22" s="14">
        <v>38443</v>
      </c>
      <c r="G22" s="11" t="s">
        <v>23</v>
      </c>
    </row>
    <row r="23" spans="1:9">
      <c r="A23" s="6"/>
      <c r="B23" s="4" t="s">
        <v>598</v>
      </c>
      <c r="F23" s="14">
        <v>43191</v>
      </c>
      <c r="G23" s="11" t="s">
        <v>25</v>
      </c>
    </row>
    <row r="24" spans="1:9">
      <c r="A24" s="6"/>
      <c r="B24" s="4"/>
      <c r="G24" s="11"/>
    </row>
    <row r="25" spans="1:9">
      <c r="A25" s="6"/>
      <c r="B25" s="4" t="s">
        <v>599</v>
      </c>
      <c r="F25" s="14">
        <v>38565</v>
      </c>
      <c r="G25" s="11" t="s">
        <v>27</v>
      </c>
    </row>
    <row r="26" spans="1:9">
      <c r="A26" s="6"/>
    </row>
    <row r="27" spans="1:9">
      <c r="A27" s="6"/>
      <c r="B27" s="7" t="s">
        <v>28</v>
      </c>
      <c r="C27" s="7"/>
      <c r="D27" s="7"/>
      <c r="E27" s="7"/>
      <c r="F27" s="7"/>
      <c r="G27" s="7"/>
      <c r="H27" s="7"/>
      <c r="I27" s="7"/>
    </row>
    <row r="28" spans="1:9">
      <c r="A28" s="6"/>
    </row>
    <row r="29" spans="1:9">
      <c r="A29" s="6"/>
      <c r="B29" t="s">
        <v>28</v>
      </c>
      <c r="C29" t="s">
        <v>29</v>
      </c>
      <c r="F29" t="s">
        <v>30</v>
      </c>
      <c r="G29" t="s">
        <v>31</v>
      </c>
      <c r="H29" t="s">
        <v>32</v>
      </c>
    </row>
    <row r="30" spans="1:9" ht="3" customHeight="1">
      <c r="A30" s="6"/>
      <c r="B30" s="15"/>
      <c r="C30" s="16"/>
      <c r="D30" s="16"/>
      <c r="E30" s="17"/>
      <c r="F30" s="18"/>
      <c r="G30" s="19"/>
      <c r="H30" s="18"/>
    </row>
    <row r="31" spans="1:9">
      <c r="A31" s="6"/>
      <c r="B31" s="20">
        <v>1</v>
      </c>
      <c r="C31" s="21" t="s">
        <v>33</v>
      </c>
      <c r="D31" s="21"/>
      <c r="E31" s="21"/>
      <c r="F31" s="10" t="s">
        <v>34</v>
      </c>
      <c r="G31" s="10" t="s">
        <v>35</v>
      </c>
      <c r="H31" s="22" t="s">
        <v>36</v>
      </c>
    </row>
    <row r="32" spans="1:9">
      <c r="A32" s="6"/>
      <c r="B32" s="20">
        <v>2</v>
      </c>
      <c r="C32" s="21" t="s">
        <v>37</v>
      </c>
      <c r="D32" s="21"/>
      <c r="E32" s="21"/>
      <c r="F32" s="10" t="s">
        <v>38</v>
      </c>
      <c r="G32" s="10" t="s">
        <v>39</v>
      </c>
      <c r="H32" s="22" t="s">
        <v>36</v>
      </c>
    </row>
    <row r="33" spans="1:9">
      <c r="A33" s="6"/>
      <c r="B33" s="20">
        <v>3</v>
      </c>
      <c r="C33" s="21" t="s">
        <v>40</v>
      </c>
      <c r="D33" s="21"/>
      <c r="E33" s="21"/>
      <c r="F33" s="10" t="s">
        <v>41</v>
      </c>
      <c r="G33" s="10" t="s">
        <v>42</v>
      </c>
      <c r="H33" s="22" t="s">
        <v>36</v>
      </c>
    </row>
    <row r="34" spans="1:9">
      <c r="A34" s="6"/>
      <c r="B34" s="20">
        <v>4</v>
      </c>
      <c r="C34" s="21" t="s">
        <v>43</v>
      </c>
      <c r="D34" s="21"/>
      <c r="E34" s="21"/>
      <c r="F34" s="10" t="s">
        <v>44</v>
      </c>
      <c r="G34" s="10" t="s">
        <v>45</v>
      </c>
      <c r="H34" s="22" t="s">
        <v>36</v>
      </c>
    </row>
    <row r="35" spans="1:9">
      <c r="A35" s="6"/>
      <c r="B35" s="20">
        <v>5</v>
      </c>
      <c r="C35" s="21" t="s">
        <v>46</v>
      </c>
      <c r="D35" s="21"/>
      <c r="E35" s="21"/>
      <c r="F35" s="10" t="s">
        <v>47</v>
      </c>
      <c r="G35" s="10" t="s">
        <v>48</v>
      </c>
      <c r="H35" s="22" t="s">
        <v>36</v>
      </c>
    </row>
    <row r="36" spans="1:9">
      <c r="A36" s="6"/>
      <c r="B36" s="20">
        <v>6</v>
      </c>
      <c r="C36" s="21" t="s">
        <v>49</v>
      </c>
      <c r="D36" s="21"/>
      <c r="E36" s="21"/>
      <c r="F36" s="10" t="s">
        <v>50</v>
      </c>
      <c r="G36" s="10" t="s">
        <v>49</v>
      </c>
      <c r="H36" s="22" t="s">
        <v>36</v>
      </c>
    </row>
    <row r="37" spans="1:9" ht="3" customHeight="1">
      <c r="A37" s="6"/>
      <c r="B37" s="15"/>
      <c r="C37" s="16"/>
      <c r="D37" s="16"/>
      <c r="E37" s="17"/>
      <c r="F37" s="23"/>
      <c r="G37" s="19"/>
      <c r="H37" s="19"/>
    </row>
    <row r="38" spans="1:9">
      <c r="A38" s="6"/>
      <c r="B38" s="6">
        <v>6</v>
      </c>
      <c r="C38" s="11" t="s">
        <v>51</v>
      </c>
    </row>
    <row r="39" spans="1:9">
      <c r="A39" s="6"/>
      <c r="B39" s="7" t="s">
        <v>52</v>
      </c>
      <c r="C39" s="7"/>
      <c r="D39" s="7"/>
      <c r="E39" s="7"/>
      <c r="F39" s="7"/>
      <c r="G39" s="7"/>
      <c r="H39" s="7"/>
      <c r="I39" s="7"/>
    </row>
    <row r="40" spans="1:9">
      <c r="A40" s="6"/>
    </row>
    <row r="41" spans="1:9">
      <c r="A41" s="6"/>
      <c r="B41" t="s">
        <v>52</v>
      </c>
      <c r="C41" t="s">
        <v>29</v>
      </c>
      <c r="F41" t="s">
        <v>30</v>
      </c>
      <c r="G41" t="s">
        <v>31</v>
      </c>
      <c r="H41" t="s">
        <v>32</v>
      </c>
    </row>
    <row r="42" spans="1:9" ht="3" customHeight="1">
      <c r="A42" s="6"/>
      <c r="B42" s="15"/>
      <c r="C42" s="16"/>
      <c r="D42" s="16"/>
      <c r="E42" s="17"/>
      <c r="F42" s="17"/>
      <c r="G42" s="18"/>
      <c r="H42" s="18"/>
    </row>
    <row r="43" spans="1:9">
      <c r="A43" s="6"/>
      <c r="B43" s="20">
        <v>1</v>
      </c>
      <c r="C43" s="21" t="s">
        <v>53</v>
      </c>
      <c r="D43" s="21"/>
      <c r="E43" s="21"/>
      <c r="F43" s="10" t="s">
        <v>54</v>
      </c>
      <c r="G43" s="10" t="s">
        <v>53</v>
      </c>
      <c r="H43" s="22" t="s">
        <v>36</v>
      </c>
    </row>
    <row r="44" spans="1:9">
      <c r="A44" s="6"/>
      <c r="B44" s="20">
        <v>2</v>
      </c>
      <c r="C44" s="21" t="s">
        <v>55</v>
      </c>
      <c r="D44" s="21"/>
      <c r="E44" s="21"/>
      <c r="F44" s="10" t="s">
        <v>56</v>
      </c>
      <c r="G44" s="10" t="s">
        <v>55</v>
      </c>
      <c r="H44" s="22" t="s">
        <v>36</v>
      </c>
    </row>
    <row r="45" spans="1:9">
      <c r="A45" s="6"/>
      <c r="B45" s="20">
        <v>3</v>
      </c>
      <c r="C45" s="21" t="s">
        <v>57</v>
      </c>
      <c r="D45" s="21"/>
      <c r="E45" s="21"/>
      <c r="F45" s="10" t="s">
        <v>58</v>
      </c>
      <c r="G45" s="10" t="s">
        <v>59</v>
      </c>
      <c r="H45" s="22" t="s">
        <v>36</v>
      </c>
    </row>
    <row r="46" spans="1:9">
      <c r="A46" s="6"/>
      <c r="B46" s="20">
        <v>4</v>
      </c>
      <c r="C46" s="21" t="s">
        <v>60</v>
      </c>
      <c r="D46" s="21"/>
      <c r="E46" s="21"/>
      <c r="F46" s="10" t="s">
        <v>61</v>
      </c>
      <c r="G46" s="10" t="s">
        <v>62</v>
      </c>
      <c r="H46" s="22" t="s">
        <v>36</v>
      </c>
    </row>
    <row r="47" spans="1:9">
      <c r="A47" s="6"/>
      <c r="B47" s="20">
        <v>5</v>
      </c>
      <c r="C47" s="21" t="s">
        <v>63</v>
      </c>
      <c r="D47" s="21"/>
      <c r="E47" s="21"/>
      <c r="F47" s="10" t="s">
        <v>64</v>
      </c>
      <c r="G47" s="10" t="s">
        <v>63</v>
      </c>
      <c r="H47" s="22" t="s">
        <v>36</v>
      </c>
    </row>
    <row r="48" spans="1:9">
      <c r="A48" s="6"/>
      <c r="B48" s="20">
        <v>6</v>
      </c>
      <c r="C48" s="21" t="s">
        <v>65</v>
      </c>
      <c r="D48" s="21"/>
      <c r="E48" s="21"/>
      <c r="F48" s="10" t="s">
        <v>66</v>
      </c>
      <c r="G48" s="10" t="s">
        <v>67</v>
      </c>
      <c r="H48" s="22" t="s">
        <v>36</v>
      </c>
    </row>
    <row r="49" spans="1:9">
      <c r="A49" s="6"/>
      <c r="B49" s="20">
        <v>7</v>
      </c>
      <c r="C49" s="21" t="s">
        <v>68</v>
      </c>
      <c r="D49" s="21"/>
      <c r="E49" s="21"/>
      <c r="F49" s="10" t="s">
        <v>69</v>
      </c>
      <c r="G49" s="10" t="s">
        <v>68</v>
      </c>
      <c r="H49" s="22" t="s">
        <v>36</v>
      </c>
    </row>
    <row r="50" spans="1:9">
      <c r="A50" s="6"/>
      <c r="B50" s="20">
        <v>8</v>
      </c>
      <c r="C50" s="21" t="s">
        <v>70</v>
      </c>
      <c r="D50" s="21"/>
      <c r="E50" s="21"/>
      <c r="F50" s="10" t="s">
        <v>71</v>
      </c>
      <c r="G50" s="10" t="s">
        <v>70</v>
      </c>
      <c r="H50" s="22" t="s">
        <v>36</v>
      </c>
    </row>
    <row r="51" spans="1:9">
      <c r="A51" s="6"/>
      <c r="B51" s="20">
        <v>11</v>
      </c>
      <c r="C51" s="21" t="s">
        <v>72</v>
      </c>
      <c r="D51" s="21"/>
      <c r="E51" s="21"/>
      <c r="F51" s="10" t="s">
        <v>73</v>
      </c>
      <c r="G51" s="10" t="s">
        <v>72</v>
      </c>
      <c r="H51" s="22" t="s">
        <v>36</v>
      </c>
    </row>
    <row r="52" spans="1:9" ht="3" customHeight="1">
      <c r="A52" s="6"/>
      <c r="B52" s="15"/>
      <c r="C52" s="16"/>
      <c r="D52" s="16"/>
      <c r="E52" s="17"/>
      <c r="F52" s="17"/>
      <c r="G52" s="17"/>
      <c r="H52" s="17"/>
    </row>
    <row r="53" spans="1:9">
      <c r="A53" s="6"/>
      <c r="B53" s="6">
        <v>9</v>
      </c>
      <c r="C53" s="24" t="s">
        <v>74</v>
      </c>
    </row>
    <row r="54" spans="1:9">
      <c r="A54" s="6"/>
      <c r="B54" s="7" t="s">
        <v>75</v>
      </c>
      <c r="C54" s="7"/>
      <c r="D54" s="7"/>
      <c r="E54" s="7"/>
      <c r="F54" s="7"/>
      <c r="G54" s="7"/>
      <c r="H54" s="7"/>
      <c r="I54" s="7"/>
    </row>
    <row r="55" spans="1:9">
      <c r="A55" s="6"/>
    </row>
    <row r="56" spans="1:9">
      <c r="A56" s="6"/>
      <c r="B56" t="s">
        <v>76</v>
      </c>
      <c r="C56" s="25" t="s">
        <v>29</v>
      </c>
      <c r="D56" s="20"/>
      <c r="E56" s="20"/>
      <c r="F56" s="26" t="s">
        <v>30</v>
      </c>
      <c r="G56" s="26" t="s">
        <v>31</v>
      </c>
    </row>
    <row r="57" spans="1:9" ht="3" customHeight="1">
      <c r="A57" s="6"/>
      <c r="B57" s="15"/>
      <c r="C57" s="16"/>
      <c r="D57" s="16"/>
      <c r="E57" s="17"/>
      <c r="F57" s="17"/>
      <c r="G57" s="27"/>
    </row>
    <row r="58" spans="1:9">
      <c r="A58" s="6"/>
      <c r="B58" s="20">
        <v>1</v>
      </c>
      <c r="C58" s="21" t="s">
        <v>77</v>
      </c>
      <c r="D58" s="21"/>
      <c r="E58" s="21"/>
      <c r="F58" s="10" t="s">
        <v>78</v>
      </c>
      <c r="G58" s="10"/>
    </row>
    <row r="59" spans="1:9">
      <c r="A59" s="6"/>
      <c r="B59" s="20">
        <v>2</v>
      </c>
      <c r="C59" s="21" t="s">
        <v>79</v>
      </c>
      <c r="D59" s="21"/>
      <c r="E59" s="21"/>
      <c r="F59" s="10" t="s">
        <v>80</v>
      </c>
      <c r="G59" s="10"/>
    </row>
    <row r="60" spans="1:9">
      <c r="A60" s="6"/>
      <c r="B60" s="20">
        <v>3</v>
      </c>
      <c r="C60" s="21" t="s">
        <v>81</v>
      </c>
      <c r="D60" s="21"/>
      <c r="E60" s="21"/>
      <c r="F60" s="10" t="s">
        <v>82</v>
      </c>
      <c r="G60" s="10"/>
    </row>
    <row r="61" spans="1:9">
      <c r="A61" s="6"/>
      <c r="B61" s="20">
        <v>4</v>
      </c>
      <c r="C61" s="21" t="s">
        <v>83</v>
      </c>
      <c r="D61" s="21"/>
      <c r="E61" s="21"/>
      <c r="F61" s="10" t="s">
        <v>84</v>
      </c>
      <c r="G61" s="10"/>
    </row>
    <row r="62" spans="1:9">
      <c r="A62" s="6"/>
      <c r="B62" s="20">
        <v>5</v>
      </c>
      <c r="C62" s="21" t="s">
        <v>85</v>
      </c>
      <c r="D62" s="21"/>
      <c r="E62" s="21"/>
      <c r="F62" s="10" t="s">
        <v>86</v>
      </c>
      <c r="G62" s="10"/>
    </row>
    <row r="63" spans="1:9">
      <c r="A63" s="6"/>
      <c r="B63" s="20">
        <v>6</v>
      </c>
      <c r="C63" s="21" t="s">
        <v>87</v>
      </c>
      <c r="D63" s="21"/>
      <c r="E63" s="21"/>
      <c r="F63" s="10" t="s">
        <v>88</v>
      </c>
      <c r="G63" s="10"/>
    </row>
    <row r="64" spans="1:9">
      <c r="A64" s="6"/>
      <c r="B64" s="20">
        <v>7</v>
      </c>
      <c r="C64" s="21" t="s">
        <v>89</v>
      </c>
      <c r="D64" s="21"/>
      <c r="E64" s="21"/>
      <c r="F64" s="10" t="s">
        <v>90</v>
      </c>
      <c r="G64" s="10"/>
    </row>
    <row r="65" spans="1:9">
      <c r="A65" s="6"/>
      <c r="B65" s="20">
        <v>8</v>
      </c>
      <c r="C65" s="21" t="s">
        <v>91</v>
      </c>
      <c r="D65" s="21"/>
      <c r="E65" s="21"/>
      <c r="F65" s="10" t="s">
        <v>80</v>
      </c>
      <c r="G65" s="10"/>
    </row>
    <row r="66" spans="1:9">
      <c r="A66" s="6"/>
      <c r="B66" s="20">
        <v>9</v>
      </c>
      <c r="C66" s="21" t="s">
        <v>92</v>
      </c>
      <c r="D66" s="21"/>
      <c r="E66" s="21"/>
      <c r="F66" s="10" t="s">
        <v>93</v>
      </c>
      <c r="G66" s="10"/>
    </row>
    <row r="67" spans="1:9">
      <c r="A67" s="6"/>
      <c r="B67" s="20">
        <v>12</v>
      </c>
      <c r="C67" s="21"/>
      <c r="D67" s="21"/>
      <c r="E67" s="21"/>
      <c r="F67" s="10"/>
      <c r="G67" s="10"/>
    </row>
    <row r="68" spans="1:9" ht="3" customHeight="1">
      <c r="A68" s="6"/>
      <c r="B68" s="15"/>
      <c r="C68" s="16"/>
      <c r="D68" s="16"/>
      <c r="E68" s="17"/>
      <c r="F68" s="17"/>
      <c r="G68" s="28"/>
    </row>
    <row r="69" spans="1:9">
      <c r="A69" s="6"/>
      <c r="B69" s="29">
        <v>9</v>
      </c>
      <c r="C69" s="24" t="s">
        <v>94</v>
      </c>
      <c r="D69" s="20"/>
      <c r="E69" s="20"/>
      <c r="F69" s="30"/>
      <c r="G69" s="31" t="s">
        <v>95</v>
      </c>
    </row>
    <row r="70" spans="1:9">
      <c r="A70" s="6"/>
      <c r="B70" s="7" t="s">
        <v>96</v>
      </c>
      <c r="C70" s="7"/>
      <c r="D70" s="7"/>
      <c r="E70" s="7"/>
      <c r="F70" s="7"/>
      <c r="G70" s="7"/>
      <c r="H70" s="7"/>
      <c r="I70" s="7"/>
    </row>
    <row r="71" spans="1:9">
      <c r="A71" s="6"/>
    </row>
    <row r="72" spans="1:9">
      <c r="A72" s="6"/>
      <c r="B72" t="s">
        <v>97</v>
      </c>
      <c r="C72" s="25" t="s">
        <v>29</v>
      </c>
      <c r="D72" s="20"/>
      <c r="E72" s="20"/>
      <c r="F72" s="26" t="s">
        <v>30</v>
      </c>
      <c r="G72" s="26" t="s">
        <v>31</v>
      </c>
    </row>
    <row r="73" spans="1:9" ht="3" customHeight="1">
      <c r="A73" s="6"/>
      <c r="B73" s="15"/>
      <c r="C73" s="16"/>
      <c r="D73" s="16"/>
      <c r="E73" s="17"/>
      <c r="F73" s="17"/>
      <c r="G73" s="27"/>
      <c r="H73" s="18"/>
    </row>
    <row r="74" spans="1:9">
      <c r="A74" s="6"/>
      <c r="B74" s="20">
        <v>1</v>
      </c>
      <c r="C74" s="21"/>
      <c r="D74" s="21"/>
      <c r="E74" s="21"/>
      <c r="F74" s="10"/>
      <c r="G74" s="10"/>
      <c r="H74" s="22" t="s">
        <v>36</v>
      </c>
    </row>
    <row r="75" spans="1:9">
      <c r="A75" s="6"/>
      <c r="B75" s="20">
        <v>2</v>
      </c>
      <c r="C75" s="21"/>
      <c r="D75" s="21"/>
      <c r="E75" s="21"/>
      <c r="F75" s="10"/>
      <c r="G75" s="10"/>
      <c r="H75" s="22" t="s">
        <v>36</v>
      </c>
    </row>
    <row r="76" spans="1:9">
      <c r="A76" s="6"/>
      <c r="B76" s="20">
        <v>3</v>
      </c>
      <c r="C76" s="21"/>
      <c r="D76" s="21"/>
      <c r="E76" s="21"/>
      <c r="F76" s="10"/>
      <c r="G76" s="10"/>
      <c r="H76" s="22" t="s">
        <v>36</v>
      </c>
    </row>
    <row r="77" spans="1:9">
      <c r="A77" s="6"/>
      <c r="B77" s="20">
        <v>4</v>
      </c>
      <c r="C77" s="21"/>
      <c r="D77" s="21"/>
      <c r="E77" s="21"/>
      <c r="F77" s="10"/>
      <c r="G77" s="10"/>
      <c r="H77" s="22" t="s">
        <v>36</v>
      </c>
    </row>
    <row r="78" spans="1:9">
      <c r="A78" s="6"/>
      <c r="B78" s="20">
        <v>5</v>
      </c>
      <c r="C78" s="21"/>
      <c r="D78" s="21"/>
      <c r="E78" s="21"/>
      <c r="F78" s="10"/>
      <c r="G78" s="10"/>
      <c r="H78" s="22" t="s">
        <v>36</v>
      </c>
    </row>
    <row r="79" spans="1:9">
      <c r="A79" s="6"/>
      <c r="B79" s="20">
        <v>6</v>
      </c>
      <c r="C79" s="21"/>
      <c r="D79" s="21"/>
      <c r="E79" s="21"/>
      <c r="F79" s="10"/>
      <c r="G79" s="10"/>
      <c r="H79" s="22" t="s">
        <v>36</v>
      </c>
    </row>
    <row r="80" spans="1:9">
      <c r="A80" s="6"/>
      <c r="B80" s="20">
        <v>7</v>
      </c>
      <c r="C80" s="21"/>
      <c r="D80" s="21"/>
      <c r="E80" s="21"/>
      <c r="F80" s="10"/>
      <c r="G80" s="10"/>
      <c r="H80" s="22" t="s">
        <v>36</v>
      </c>
    </row>
    <row r="81" spans="1:9">
      <c r="A81" s="6"/>
      <c r="B81" s="20">
        <v>8</v>
      </c>
      <c r="C81" s="21"/>
      <c r="D81" s="21"/>
      <c r="E81" s="21"/>
      <c r="F81" s="10"/>
      <c r="G81" s="10"/>
      <c r="H81" s="22" t="s">
        <v>36</v>
      </c>
    </row>
    <row r="82" spans="1:9">
      <c r="A82" s="6"/>
      <c r="B82" s="20">
        <v>9</v>
      </c>
      <c r="C82" s="21"/>
      <c r="D82" s="21"/>
      <c r="E82" s="21"/>
      <c r="F82" s="10"/>
      <c r="G82" s="10"/>
      <c r="H82" s="22" t="s">
        <v>36</v>
      </c>
    </row>
    <row r="83" spans="1:9">
      <c r="A83" s="6"/>
      <c r="B83" s="20">
        <v>12</v>
      </c>
      <c r="C83" s="21"/>
      <c r="D83" s="21"/>
      <c r="E83" s="21"/>
      <c r="F83" s="10"/>
      <c r="G83" s="10"/>
      <c r="H83" s="22" t="s">
        <v>36</v>
      </c>
    </row>
    <row r="84" spans="1:9" ht="3" customHeight="1">
      <c r="A84" s="6"/>
      <c r="B84" s="15"/>
      <c r="C84" s="16"/>
      <c r="D84" s="16"/>
      <c r="E84" s="17"/>
      <c r="F84" s="17"/>
      <c r="G84" s="28"/>
      <c r="H84" s="28"/>
    </row>
    <row r="85" spans="1:9">
      <c r="A85" s="6"/>
      <c r="B85" s="29">
        <v>0</v>
      </c>
      <c r="C85" s="32" t="s">
        <v>98</v>
      </c>
      <c r="D85" s="20"/>
      <c r="E85" s="20"/>
      <c r="F85" s="30"/>
      <c r="G85" s="31"/>
    </row>
    <row r="86" spans="1:9">
      <c r="A86" s="6"/>
      <c r="B86" s="7" t="s">
        <v>99</v>
      </c>
      <c r="C86" s="7"/>
      <c r="D86" s="7"/>
      <c r="E86" s="7"/>
      <c r="F86" s="7"/>
      <c r="G86" s="7"/>
      <c r="H86" s="7"/>
      <c r="I86" s="7"/>
    </row>
    <row r="87" spans="1:9">
      <c r="A87" s="6"/>
    </row>
    <row r="88" spans="1:9">
      <c r="A88" s="6"/>
      <c r="B88" s="4" t="s">
        <v>100</v>
      </c>
      <c r="F88" s="33" t="s">
        <v>101</v>
      </c>
      <c r="G88" s="32" t="s">
        <v>102</v>
      </c>
    </row>
    <row r="89" spans="1:9">
      <c r="A89" s="6"/>
      <c r="B89" s="4" t="s">
        <v>103</v>
      </c>
      <c r="F89" s="33" t="s">
        <v>104</v>
      </c>
      <c r="G89" s="32" t="s">
        <v>103</v>
      </c>
    </row>
    <row r="90" spans="1:9">
      <c r="A90" s="6"/>
      <c r="B90" s="4" t="s">
        <v>105</v>
      </c>
      <c r="F90" s="33" t="s">
        <v>106</v>
      </c>
      <c r="G90" s="32" t="s">
        <v>107</v>
      </c>
    </row>
    <row r="91" spans="1:9">
      <c r="A91" s="6"/>
      <c r="B91" s="4" t="s">
        <v>108</v>
      </c>
      <c r="F91" s="33">
        <v>12</v>
      </c>
      <c r="G91" s="11" t="s">
        <v>109</v>
      </c>
    </row>
    <row r="92" spans="1:9">
      <c r="A92" s="6"/>
      <c r="B92" s="4" t="s">
        <v>110</v>
      </c>
      <c r="F92" s="33">
        <v>30</v>
      </c>
      <c r="G92" s="11" t="s">
        <v>111</v>
      </c>
    </row>
    <row r="93" spans="1:9">
      <c r="A93" s="6"/>
      <c r="B93" s="4" t="s">
        <v>567</v>
      </c>
      <c r="F93" s="34">
        <v>1E-3</v>
      </c>
      <c r="G93" s="11" t="s">
        <v>112</v>
      </c>
    </row>
    <row r="94" spans="1:9">
      <c r="A94" s="6"/>
      <c r="B94" s="4" t="s">
        <v>113</v>
      </c>
      <c r="F94" s="34">
        <v>1</v>
      </c>
      <c r="G94" s="11" t="s">
        <v>114</v>
      </c>
    </row>
    <row r="95" spans="1:9">
      <c r="A95" s="6"/>
      <c r="B95" s="7" t="s">
        <v>115</v>
      </c>
      <c r="C95" s="7"/>
      <c r="D95" s="7"/>
      <c r="E95" s="7"/>
      <c r="F95" s="7"/>
      <c r="G95" s="7"/>
      <c r="H95" s="7"/>
      <c r="I95" s="7"/>
    </row>
    <row r="96" spans="1:9">
      <c r="A96" s="6"/>
    </row>
    <row r="97" spans="1:9">
      <c r="A97" s="6"/>
      <c r="B97" s="4" t="s">
        <v>116</v>
      </c>
      <c r="C97" s="4" t="s">
        <v>29</v>
      </c>
      <c r="D97" s="4"/>
      <c r="E97" s="4"/>
      <c r="F97" s="4" t="s">
        <v>30</v>
      </c>
      <c r="G97" s="4" t="s">
        <v>31</v>
      </c>
    </row>
    <row r="98" spans="1:9" ht="3" customHeight="1">
      <c r="A98" s="6"/>
      <c r="B98" s="15"/>
      <c r="C98" s="16"/>
      <c r="D98" s="16"/>
      <c r="E98" s="17"/>
      <c r="F98" s="17"/>
      <c r="G98" s="27"/>
    </row>
    <row r="99" spans="1:9">
      <c r="A99" s="6"/>
      <c r="B99" s="20">
        <v>1</v>
      </c>
      <c r="C99" s="21" t="s">
        <v>117</v>
      </c>
      <c r="D99" s="21"/>
      <c r="E99" s="21"/>
      <c r="F99" s="10" t="s">
        <v>117</v>
      </c>
      <c r="G99" s="10"/>
    </row>
    <row r="100" spans="1:9">
      <c r="A100" s="6"/>
      <c r="B100" s="20">
        <v>2</v>
      </c>
      <c r="C100" s="21" t="s">
        <v>118</v>
      </c>
      <c r="D100" s="21"/>
      <c r="E100" s="21"/>
      <c r="F100" s="10" t="s">
        <v>118</v>
      </c>
      <c r="G100" s="10"/>
    </row>
    <row r="101" spans="1:9">
      <c r="A101" s="6"/>
      <c r="B101" s="20">
        <v>3</v>
      </c>
      <c r="C101" s="21"/>
      <c r="D101" s="21"/>
      <c r="E101" s="21"/>
      <c r="F101" s="10"/>
      <c r="G101" s="10"/>
    </row>
    <row r="102" spans="1:9" ht="3" customHeight="1">
      <c r="A102" s="6"/>
      <c r="B102" s="15"/>
      <c r="C102" s="16"/>
      <c r="D102" s="16"/>
      <c r="E102" s="17"/>
      <c r="F102" s="17"/>
      <c r="G102" s="28"/>
    </row>
    <row r="103" spans="1:9">
      <c r="A103" s="6"/>
      <c r="B103" s="29">
        <v>2</v>
      </c>
      <c r="C103" s="32" t="s">
        <v>119</v>
      </c>
      <c r="D103" s="20"/>
      <c r="E103" s="20"/>
      <c r="F103" s="30"/>
      <c r="G103" s="31"/>
    </row>
    <row r="104" spans="1:9">
      <c r="A104" s="6"/>
      <c r="B104" s="7" t="s">
        <v>120</v>
      </c>
      <c r="C104" s="7"/>
      <c r="D104" s="7"/>
      <c r="E104" s="7"/>
      <c r="F104" s="7"/>
      <c r="G104" s="7"/>
      <c r="H104" s="7"/>
      <c r="I104" s="7"/>
    </row>
    <row r="105" spans="1:9">
      <c r="A105" s="6"/>
    </row>
    <row r="106" spans="1:9">
      <c r="A106" s="6"/>
      <c r="B106" t="s">
        <v>121</v>
      </c>
      <c r="C106" s="4" t="s">
        <v>29</v>
      </c>
      <c r="D106" s="4"/>
      <c r="E106" s="4"/>
      <c r="F106" s="4" t="s">
        <v>122</v>
      </c>
      <c r="G106" s="4" t="s">
        <v>123</v>
      </c>
      <c r="H106" s="4" t="s">
        <v>124</v>
      </c>
      <c r="I106" s="4" t="s">
        <v>125</v>
      </c>
    </row>
    <row r="107" spans="1:9" ht="3" customHeight="1">
      <c r="A107" s="6"/>
      <c r="B107" s="15"/>
      <c r="C107" s="16"/>
      <c r="D107" s="16"/>
      <c r="E107" s="17"/>
      <c r="F107" s="17"/>
      <c r="G107" s="27"/>
      <c r="H107" s="27"/>
      <c r="I107" s="27"/>
    </row>
    <row r="108" spans="1:9">
      <c r="A108" s="6"/>
      <c r="B108" s="20">
        <v>1</v>
      </c>
      <c r="C108" s="21" t="s">
        <v>126</v>
      </c>
      <c r="D108" s="21"/>
      <c r="E108" s="21"/>
      <c r="F108" s="35"/>
      <c r="G108" s="35"/>
      <c r="H108" s="35"/>
      <c r="I108" s="36">
        <v>0</v>
      </c>
    </row>
    <row r="109" spans="1:9">
      <c r="A109" s="6"/>
      <c r="B109" s="20">
        <v>2</v>
      </c>
      <c r="C109" s="21" t="s">
        <v>127</v>
      </c>
      <c r="D109" s="21"/>
      <c r="E109" s="21"/>
      <c r="F109" s="35"/>
      <c r="G109" s="35"/>
      <c r="H109" s="35"/>
      <c r="I109" s="36">
        <v>0</v>
      </c>
    </row>
    <row r="110" spans="1:9">
      <c r="A110" s="6"/>
      <c r="B110" s="20">
        <v>3</v>
      </c>
      <c r="C110" s="21" t="s">
        <v>128</v>
      </c>
      <c r="D110" s="21"/>
      <c r="E110" s="21"/>
      <c r="F110" s="35"/>
      <c r="G110" s="35"/>
      <c r="H110" s="35"/>
      <c r="I110" s="36">
        <v>0</v>
      </c>
    </row>
    <row r="111" spans="1:9">
      <c r="A111" s="6"/>
      <c r="B111" s="20">
        <v>4</v>
      </c>
      <c r="C111" s="21" t="s">
        <v>129</v>
      </c>
      <c r="D111" s="21"/>
      <c r="E111" s="21"/>
      <c r="F111" s="35"/>
      <c r="G111" s="35"/>
      <c r="H111" s="35"/>
      <c r="I111" s="36">
        <v>0</v>
      </c>
    </row>
    <row r="112" spans="1:9">
      <c r="A112" s="6"/>
      <c r="B112" s="20">
        <v>5</v>
      </c>
      <c r="C112" s="21" t="s">
        <v>568</v>
      </c>
      <c r="D112" s="21"/>
      <c r="E112" s="21"/>
      <c r="F112" s="35"/>
      <c r="G112" s="35"/>
      <c r="H112" s="35"/>
      <c r="I112" s="36">
        <v>0</v>
      </c>
    </row>
    <row r="113" spans="1:9">
      <c r="A113" s="6"/>
      <c r="B113" s="20">
        <v>6</v>
      </c>
      <c r="C113" s="21" t="s">
        <v>130</v>
      </c>
      <c r="D113" s="21"/>
      <c r="E113" s="21"/>
      <c r="F113" s="35"/>
      <c r="G113" s="35"/>
      <c r="H113" s="35"/>
      <c r="I113" s="36">
        <v>0</v>
      </c>
    </row>
    <row r="114" spans="1:9">
      <c r="A114" s="6"/>
      <c r="B114" s="20">
        <v>7</v>
      </c>
      <c r="C114" s="21" t="s">
        <v>131</v>
      </c>
      <c r="D114" s="21"/>
      <c r="E114" s="21"/>
      <c r="F114" s="35"/>
      <c r="G114" s="35"/>
      <c r="H114" s="35"/>
      <c r="I114" s="36">
        <v>0</v>
      </c>
    </row>
    <row r="115" spans="1:9">
      <c r="A115" s="6"/>
      <c r="B115" s="20">
        <v>8</v>
      </c>
      <c r="C115" s="21" t="s">
        <v>60</v>
      </c>
      <c r="D115" s="21"/>
      <c r="E115" s="21"/>
      <c r="F115" s="35"/>
      <c r="G115" s="35"/>
      <c r="H115" s="35"/>
      <c r="I115" s="36">
        <v>0</v>
      </c>
    </row>
    <row r="116" spans="1:9">
      <c r="A116" s="6"/>
      <c r="B116" s="20">
        <v>9</v>
      </c>
      <c r="C116" s="21" t="s">
        <v>57</v>
      </c>
      <c r="D116" s="21"/>
      <c r="E116" s="21"/>
      <c r="F116" s="35"/>
      <c r="G116" s="35"/>
      <c r="H116" s="35"/>
      <c r="I116" s="36">
        <v>0</v>
      </c>
    </row>
    <row r="117" spans="1:9">
      <c r="A117" s="6"/>
      <c r="B117" s="20">
        <v>12</v>
      </c>
      <c r="C117" s="21"/>
      <c r="D117" s="21"/>
      <c r="E117" s="21"/>
      <c r="F117" s="35"/>
      <c r="G117" s="35"/>
      <c r="H117" s="35"/>
      <c r="I117" s="36">
        <v>0</v>
      </c>
    </row>
    <row r="118" spans="1:9" ht="3" customHeight="1">
      <c r="A118" s="6"/>
      <c r="B118" s="15"/>
      <c r="C118" s="16"/>
      <c r="D118" s="16"/>
      <c r="E118" s="17"/>
      <c r="F118" s="17"/>
      <c r="G118" s="28"/>
      <c r="H118" s="28"/>
      <c r="I118" s="28"/>
    </row>
    <row r="119" spans="1:9">
      <c r="A119" s="6"/>
      <c r="B119" s="37">
        <v>9</v>
      </c>
      <c r="C119" s="24" t="s">
        <v>120</v>
      </c>
      <c r="D119" s="20"/>
      <c r="E119" s="20"/>
      <c r="F119" s="38" t="s">
        <v>132</v>
      </c>
      <c r="G119" s="38" t="s">
        <v>133</v>
      </c>
      <c r="H119" s="38" t="s">
        <v>134</v>
      </c>
    </row>
    <row r="120" spans="1:9">
      <c r="A120" s="6"/>
      <c r="B120" s="7" t="s">
        <v>135</v>
      </c>
      <c r="C120" s="7"/>
      <c r="D120" s="7"/>
      <c r="E120" s="7"/>
      <c r="F120" s="7"/>
      <c r="G120" s="7"/>
      <c r="H120" s="7"/>
      <c r="I120" s="7"/>
    </row>
    <row r="121" spans="1:9">
      <c r="A121" s="6"/>
    </row>
    <row r="122" spans="1:9">
      <c r="A122" s="6"/>
      <c r="B122" t="s">
        <v>136</v>
      </c>
      <c r="C122" s="4" t="s">
        <v>29</v>
      </c>
      <c r="D122" s="4"/>
      <c r="E122" s="4"/>
      <c r="F122" s="4" t="s">
        <v>30</v>
      </c>
      <c r="G122" s="4" t="s">
        <v>31</v>
      </c>
      <c r="H122" s="4" t="s">
        <v>137</v>
      </c>
      <c r="I122" s="4" t="s">
        <v>138</v>
      </c>
    </row>
    <row r="123" spans="1:9" ht="3" customHeight="1">
      <c r="A123" s="6"/>
      <c r="B123" s="39"/>
      <c r="C123" s="39"/>
      <c r="D123" s="39"/>
      <c r="E123" s="39"/>
      <c r="F123" s="40"/>
      <c r="G123" s="39"/>
      <c r="H123" s="39"/>
      <c r="I123" s="41"/>
    </row>
    <row r="124" spans="1:9">
      <c r="A124" s="6"/>
      <c r="B124" s="42">
        <v>1</v>
      </c>
      <c r="C124" s="21" t="s">
        <v>139</v>
      </c>
      <c r="D124" s="21"/>
      <c r="E124" s="21"/>
      <c r="F124" s="10" t="s">
        <v>140</v>
      </c>
      <c r="G124" s="43"/>
      <c r="H124" s="10" t="s">
        <v>141</v>
      </c>
      <c r="I124" s="10">
        <v>0</v>
      </c>
    </row>
    <row r="125" spans="1:9">
      <c r="A125" s="6"/>
      <c r="B125" s="42">
        <v>2</v>
      </c>
      <c r="C125" s="21" t="s">
        <v>142</v>
      </c>
      <c r="D125" s="21"/>
      <c r="E125" s="21"/>
      <c r="F125" s="10" t="s">
        <v>143</v>
      </c>
      <c r="G125" s="43"/>
      <c r="H125" s="10">
        <v>30</v>
      </c>
      <c r="I125" s="10">
        <v>1</v>
      </c>
    </row>
    <row r="126" spans="1:9">
      <c r="A126" s="6"/>
      <c r="B126" s="42">
        <v>3</v>
      </c>
      <c r="C126" s="21" t="s">
        <v>144</v>
      </c>
      <c r="D126" s="21"/>
      <c r="E126" s="21"/>
      <c r="F126" s="10" t="s">
        <v>54</v>
      </c>
      <c r="G126" s="43"/>
      <c r="H126" s="10">
        <v>60</v>
      </c>
      <c r="I126" s="10">
        <v>2</v>
      </c>
    </row>
    <row r="127" spans="1:9">
      <c r="A127" s="6"/>
      <c r="B127" s="42">
        <v>4</v>
      </c>
      <c r="C127" s="21" t="s">
        <v>145</v>
      </c>
      <c r="D127" s="21"/>
      <c r="E127" s="21"/>
      <c r="F127" s="10" t="s">
        <v>146</v>
      </c>
      <c r="G127" s="43"/>
      <c r="H127" s="10">
        <v>90</v>
      </c>
      <c r="I127" s="10">
        <v>3</v>
      </c>
    </row>
    <row r="128" spans="1:9" ht="3" customHeight="1">
      <c r="A128" s="6"/>
      <c r="B128" s="39"/>
      <c r="C128" s="39"/>
      <c r="D128" s="39"/>
      <c r="E128" s="39"/>
      <c r="F128" s="39"/>
      <c r="G128" s="39"/>
      <c r="H128" s="39"/>
      <c r="I128" s="41"/>
    </row>
    <row r="129" spans="1:9">
      <c r="A129" s="6"/>
      <c r="B129" s="37">
        <v>0</v>
      </c>
      <c r="C129" s="32" t="s">
        <v>147</v>
      </c>
      <c r="D129" s="42"/>
      <c r="E129" s="42"/>
      <c r="F129" s="44"/>
      <c r="G129" s="42"/>
      <c r="H129" s="42"/>
      <c r="I129" s="42"/>
    </row>
    <row r="130" spans="1:9">
      <c r="A130" s="6"/>
      <c r="B130" s="7" t="s">
        <v>148</v>
      </c>
      <c r="C130" s="7"/>
      <c r="D130" s="7"/>
      <c r="E130" s="7"/>
      <c r="F130" s="7"/>
      <c r="G130" s="7"/>
      <c r="H130" s="7"/>
      <c r="I130" s="7"/>
    </row>
    <row r="131" spans="1:9">
      <c r="A131" s="6"/>
    </row>
    <row r="132" spans="1:9">
      <c r="A132" s="6"/>
      <c r="B132" t="s">
        <v>149</v>
      </c>
      <c r="C132" s="4" t="s">
        <v>29</v>
      </c>
      <c r="D132" s="4"/>
      <c r="E132" s="4"/>
      <c r="F132" s="4" t="s">
        <v>30</v>
      </c>
      <c r="G132" s="4" t="s">
        <v>31</v>
      </c>
      <c r="H132" s="4" t="s">
        <v>150</v>
      </c>
      <c r="I132" s="4" t="s">
        <v>151</v>
      </c>
    </row>
    <row r="133" spans="1:9" ht="3" customHeight="1">
      <c r="A133" s="6"/>
      <c r="B133" s="39"/>
      <c r="C133" s="39"/>
      <c r="D133" s="39"/>
      <c r="E133" s="39"/>
      <c r="F133" s="40"/>
      <c r="G133" s="39"/>
      <c r="H133" s="39"/>
      <c r="I133" s="41"/>
    </row>
    <row r="134" spans="1:9">
      <c r="A134" s="6"/>
      <c r="B134" s="42">
        <v>1</v>
      </c>
      <c r="C134" s="21" t="s">
        <v>139</v>
      </c>
      <c r="D134" s="21"/>
      <c r="E134" s="21"/>
      <c r="F134" s="10" t="s">
        <v>152</v>
      </c>
      <c r="G134" s="43"/>
      <c r="H134" s="10">
        <v>3</v>
      </c>
      <c r="I134" s="36">
        <v>36</v>
      </c>
    </row>
    <row r="135" spans="1:9">
      <c r="A135" s="6"/>
      <c r="B135" s="42">
        <v>2</v>
      </c>
      <c r="C135" s="21" t="s">
        <v>142</v>
      </c>
      <c r="D135" s="21"/>
      <c r="E135" s="21"/>
      <c r="F135" s="10" t="s">
        <v>153</v>
      </c>
      <c r="G135" s="43"/>
      <c r="H135" s="10">
        <v>5</v>
      </c>
      <c r="I135" s="36">
        <v>60</v>
      </c>
    </row>
    <row r="136" spans="1:9">
      <c r="A136" s="6"/>
      <c r="B136" s="42">
        <v>3</v>
      </c>
      <c r="C136" s="21" t="s">
        <v>144</v>
      </c>
      <c r="D136" s="21"/>
      <c r="E136" s="21"/>
      <c r="F136" s="10" t="s">
        <v>154</v>
      </c>
      <c r="G136" s="43"/>
      <c r="H136" s="10">
        <v>7</v>
      </c>
      <c r="I136" s="36">
        <v>84</v>
      </c>
    </row>
    <row r="137" spans="1:9">
      <c r="A137" s="6"/>
      <c r="B137" s="42">
        <v>4</v>
      </c>
      <c r="C137" s="21" t="s">
        <v>145</v>
      </c>
      <c r="D137" s="21"/>
      <c r="E137" s="21"/>
      <c r="F137" s="10" t="s">
        <v>155</v>
      </c>
      <c r="G137" s="43"/>
      <c r="H137" s="10">
        <v>10</v>
      </c>
      <c r="I137" s="36">
        <v>120</v>
      </c>
    </row>
    <row r="138" spans="1:9" ht="3" customHeight="1">
      <c r="A138" s="6"/>
      <c r="B138" s="39"/>
      <c r="C138" s="39"/>
      <c r="D138" s="39"/>
      <c r="E138" s="39"/>
      <c r="F138" s="39"/>
      <c r="G138" s="39"/>
      <c r="H138" s="39"/>
      <c r="I138" s="41"/>
    </row>
    <row r="139" spans="1:9">
      <c r="A139" s="6"/>
      <c r="F139" s="45" t="s">
        <v>156</v>
      </c>
    </row>
    <row r="140" spans="1:9">
      <c r="A140" s="6"/>
      <c r="B140" s="7" t="s">
        <v>157</v>
      </c>
      <c r="C140" s="7"/>
      <c r="D140" s="7"/>
      <c r="E140" s="7"/>
      <c r="F140" s="7"/>
      <c r="G140" s="7"/>
      <c r="H140" s="7"/>
      <c r="I140" s="7"/>
    </row>
    <row r="141" spans="1:9">
      <c r="A141" s="6"/>
    </row>
    <row r="142" spans="1:9">
      <c r="A142" s="6"/>
      <c r="B142" t="s">
        <v>158</v>
      </c>
      <c r="C142" s="4" t="s">
        <v>29</v>
      </c>
      <c r="D142" s="4"/>
      <c r="E142" s="4"/>
      <c r="F142" s="4" t="s">
        <v>30</v>
      </c>
      <c r="G142" s="4" t="s">
        <v>31</v>
      </c>
    </row>
    <row r="143" spans="1:9" ht="3" customHeight="1">
      <c r="A143" s="6"/>
      <c r="B143" s="39"/>
      <c r="C143" s="39"/>
      <c r="D143" s="39"/>
      <c r="E143" s="39"/>
      <c r="F143" s="40"/>
      <c r="G143" s="39"/>
    </row>
    <row r="144" spans="1:9">
      <c r="A144" s="6"/>
      <c r="B144" s="42">
        <v>1</v>
      </c>
      <c r="C144" s="21" t="s">
        <v>159</v>
      </c>
      <c r="D144" s="21"/>
      <c r="E144" s="21"/>
      <c r="F144" s="10"/>
      <c r="G144" s="43"/>
    </row>
    <row r="145" spans="1:9">
      <c r="A145" s="6"/>
      <c r="B145" s="42">
        <v>2</v>
      </c>
      <c r="C145" s="21" t="s">
        <v>160</v>
      </c>
      <c r="D145" s="21"/>
      <c r="E145" s="21"/>
      <c r="F145" s="10"/>
      <c r="G145" s="43"/>
    </row>
    <row r="146" spans="1:9">
      <c r="A146" s="6"/>
      <c r="B146" s="42">
        <v>3</v>
      </c>
      <c r="C146" s="21" t="s">
        <v>161</v>
      </c>
      <c r="D146" s="21"/>
      <c r="E146" s="21"/>
      <c r="F146" s="10"/>
      <c r="G146" s="43"/>
    </row>
    <row r="147" spans="1:9">
      <c r="A147" s="6"/>
      <c r="B147" s="42">
        <v>4</v>
      </c>
      <c r="C147" s="21" t="s">
        <v>162</v>
      </c>
      <c r="D147" s="21"/>
      <c r="E147" s="21"/>
      <c r="F147" s="10"/>
      <c r="G147" s="43"/>
    </row>
    <row r="148" spans="1:9">
      <c r="A148" s="6"/>
      <c r="B148" s="42">
        <v>5</v>
      </c>
      <c r="C148" s="21" t="s">
        <v>163</v>
      </c>
      <c r="D148" s="21"/>
      <c r="E148" s="21"/>
      <c r="F148" s="10"/>
      <c r="G148" s="43"/>
    </row>
    <row r="149" spans="1:9" ht="3" customHeight="1">
      <c r="A149" s="6"/>
      <c r="B149" s="39"/>
      <c r="C149" s="39"/>
      <c r="D149" s="39"/>
      <c r="E149" s="39"/>
      <c r="F149" s="39"/>
      <c r="G149" s="39"/>
    </row>
    <row r="150" spans="1:9">
      <c r="A150" s="6"/>
      <c r="C150" s="24" t="s">
        <v>164</v>
      </c>
    </row>
    <row r="151" spans="1:9">
      <c r="A151" s="6"/>
      <c r="B151" s="7" t="s">
        <v>165</v>
      </c>
      <c r="C151" s="7"/>
      <c r="D151" s="7"/>
      <c r="E151" s="7"/>
      <c r="F151" s="7"/>
      <c r="G151" s="7"/>
      <c r="H151" s="7"/>
      <c r="I151" s="7"/>
    </row>
    <row r="152" spans="1:9">
      <c r="A152" s="6"/>
    </row>
    <row r="153" spans="1:9">
      <c r="A153" s="6"/>
      <c r="B153" t="s">
        <v>166</v>
      </c>
      <c r="C153" s="4" t="s">
        <v>29</v>
      </c>
      <c r="D153" s="4"/>
      <c r="E153" s="4"/>
      <c r="F153" s="4" t="s">
        <v>30</v>
      </c>
      <c r="G153" s="4" t="s">
        <v>31</v>
      </c>
    </row>
    <row r="154" spans="1:9" ht="3" customHeight="1">
      <c r="A154" s="6"/>
      <c r="B154" s="39"/>
      <c r="C154" s="39"/>
      <c r="D154" s="39"/>
      <c r="E154" s="39"/>
      <c r="F154" s="40"/>
      <c r="G154" s="39"/>
    </row>
    <row r="155" spans="1:9">
      <c r="A155" s="6"/>
      <c r="B155" s="42">
        <v>1</v>
      </c>
      <c r="C155" s="21" t="s">
        <v>167</v>
      </c>
      <c r="D155" s="21"/>
      <c r="E155" s="21"/>
      <c r="F155" s="10"/>
      <c r="G155" s="43"/>
    </row>
    <row r="156" spans="1:9">
      <c r="A156" s="6"/>
      <c r="B156" s="42">
        <v>2</v>
      </c>
      <c r="C156" s="21" t="s">
        <v>168</v>
      </c>
      <c r="D156" s="21"/>
      <c r="E156" s="21"/>
      <c r="F156" s="10"/>
      <c r="G156" s="43"/>
    </row>
    <row r="157" spans="1:9">
      <c r="A157" s="6"/>
      <c r="B157" s="42">
        <v>3</v>
      </c>
      <c r="C157" s="21" t="s">
        <v>169</v>
      </c>
      <c r="D157" s="21"/>
      <c r="E157" s="21"/>
      <c r="F157" s="10"/>
      <c r="G157" s="43"/>
    </row>
    <row r="158" spans="1:9">
      <c r="A158" s="6"/>
      <c r="B158" s="42">
        <v>4</v>
      </c>
      <c r="C158" s="21" t="s">
        <v>170</v>
      </c>
      <c r="D158" s="21"/>
      <c r="E158" s="21"/>
      <c r="F158" s="10"/>
      <c r="G158" s="43"/>
    </row>
    <row r="159" spans="1:9">
      <c r="A159" s="6"/>
      <c r="B159" s="42">
        <v>5</v>
      </c>
      <c r="C159" s="21" t="s">
        <v>171</v>
      </c>
      <c r="D159" s="21"/>
      <c r="E159" s="21"/>
      <c r="F159" s="10"/>
      <c r="G159" s="43"/>
    </row>
    <row r="160" spans="1:9">
      <c r="A160" s="6"/>
      <c r="B160" s="42">
        <v>6</v>
      </c>
      <c r="C160" s="21" t="s">
        <v>172</v>
      </c>
      <c r="D160" s="21"/>
      <c r="E160" s="21"/>
      <c r="F160" s="10"/>
      <c r="G160" s="43"/>
    </row>
    <row r="161" spans="1:9">
      <c r="A161" s="6"/>
      <c r="B161" s="42">
        <v>7</v>
      </c>
      <c r="C161" s="21" t="s">
        <v>173</v>
      </c>
      <c r="D161" s="21"/>
      <c r="E161" s="21"/>
      <c r="F161" s="10"/>
      <c r="G161" s="43"/>
    </row>
    <row r="162" spans="1:9">
      <c r="A162" s="6"/>
      <c r="B162" s="42">
        <v>8</v>
      </c>
      <c r="C162" s="21" t="s">
        <v>174</v>
      </c>
      <c r="D162" s="21"/>
      <c r="E162" s="21"/>
      <c r="F162" s="10"/>
      <c r="G162" s="43"/>
    </row>
    <row r="163" spans="1:9">
      <c r="A163" s="6"/>
      <c r="B163" s="42">
        <v>9</v>
      </c>
      <c r="C163" s="21" t="s">
        <v>68</v>
      </c>
      <c r="D163" s="21"/>
      <c r="E163" s="21"/>
      <c r="F163" s="10"/>
      <c r="G163" s="43"/>
    </row>
    <row r="164" spans="1:9" ht="3" customHeight="1">
      <c r="A164" s="6"/>
      <c r="B164" s="39"/>
      <c r="C164" s="39"/>
      <c r="D164" s="39"/>
      <c r="E164" s="39"/>
      <c r="F164" s="39"/>
      <c r="G164" s="39"/>
    </row>
    <row r="165" spans="1:9">
      <c r="A165" s="6"/>
      <c r="C165" s="24" t="s">
        <v>175</v>
      </c>
    </row>
    <row r="166" spans="1:9">
      <c r="A166" s="6"/>
      <c r="B166" s="7" t="s">
        <v>176</v>
      </c>
      <c r="C166" s="7"/>
      <c r="D166" s="7"/>
      <c r="E166" s="7"/>
      <c r="F166" s="7"/>
      <c r="G166" s="7"/>
      <c r="H166" s="7"/>
      <c r="I166" s="7"/>
    </row>
    <row r="167" spans="1:9">
      <c r="A167" s="6"/>
    </row>
    <row r="168" spans="1:9">
      <c r="A168" s="6"/>
      <c r="B168" t="s">
        <v>176</v>
      </c>
      <c r="C168" s="4" t="s">
        <v>29</v>
      </c>
      <c r="D168" s="4"/>
      <c r="E168" s="4"/>
      <c r="F168" s="4" t="s">
        <v>30</v>
      </c>
      <c r="G168" s="4" t="s">
        <v>31</v>
      </c>
    </row>
    <row r="169" spans="1:9" ht="3" customHeight="1">
      <c r="A169" s="6"/>
      <c r="B169" s="39"/>
      <c r="C169" s="39"/>
      <c r="D169" s="39"/>
      <c r="E169" s="39"/>
      <c r="F169" s="40"/>
      <c r="G169" s="39"/>
    </row>
    <row r="170" spans="1:9">
      <c r="A170" s="6"/>
      <c r="B170" s="42">
        <v>1</v>
      </c>
      <c r="C170" s="21" t="s">
        <v>126</v>
      </c>
      <c r="D170" s="21"/>
      <c r="E170" s="21"/>
      <c r="F170" s="10"/>
      <c r="G170" s="43"/>
    </row>
    <row r="171" spans="1:9">
      <c r="A171" s="6"/>
      <c r="B171" s="42">
        <v>2</v>
      </c>
      <c r="C171" s="21" t="s">
        <v>177</v>
      </c>
      <c r="D171" s="21"/>
      <c r="E171" s="21"/>
      <c r="F171" s="10"/>
      <c r="G171" s="43"/>
    </row>
    <row r="172" spans="1:9">
      <c r="A172" s="6"/>
      <c r="B172" s="42">
        <v>3</v>
      </c>
      <c r="C172" s="21" t="s">
        <v>178</v>
      </c>
      <c r="D172" s="21"/>
      <c r="E172" s="21"/>
      <c r="F172" s="10"/>
      <c r="G172" s="43"/>
    </row>
    <row r="173" spans="1:9">
      <c r="A173" s="6"/>
      <c r="B173" s="42">
        <v>4</v>
      </c>
      <c r="C173" s="21" t="s">
        <v>179</v>
      </c>
      <c r="D173" s="21"/>
      <c r="E173" s="21"/>
      <c r="F173" s="10"/>
      <c r="G173" s="43"/>
    </row>
    <row r="174" spans="1:9">
      <c r="A174" s="6"/>
      <c r="B174" s="42">
        <v>5</v>
      </c>
      <c r="C174" s="21" t="s">
        <v>180</v>
      </c>
      <c r="D174" s="21"/>
      <c r="E174" s="21"/>
      <c r="F174" s="10"/>
      <c r="G174" s="43"/>
    </row>
    <row r="175" spans="1:9">
      <c r="A175" s="6"/>
      <c r="B175" s="42">
        <v>6</v>
      </c>
      <c r="C175" s="21" t="s">
        <v>181</v>
      </c>
      <c r="D175" s="21"/>
      <c r="E175" s="21"/>
      <c r="F175" s="10"/>
      <c r="G175" s="43"/>
    </row>
    <row r="176" spans="1:9">
      <c r="A176" s="6"/>
      <c r="B176" s="42">
        <v>7</v>
      </c>
      <c r="C176" s="21" t="s">
        <v>182</v>
      </c>
      <c r="D176" s="21"/>
      <c r="E176" s="21"/>
      <c r="F176" s="10"/>
      <c r="G176" s="43"/>
    </row>
    <row r="177" spans="1:7">
      <c r="A177" s="6"/>
      <c r="B177" s="42">
        <v>8</v>
      </c>
      <c r="C177" s="21" t="s">
        <v>183</v>
      </c>
      <c r="D177" s="21"/>
      <c r="E177" s="21"/>
      <c r="F177" s="10"/>
      <c r="G177" s="43"/>
    </row>
    <row r="178" spans="1:7">
      <c r="A178" s="6"/>
      <c r="B178" s="42">
        <v>9</v>
      </c>
      <c r="C178" s="21" t="s">
        <v>184</v>
      </c>
      <c r="D178" s="21"/>
      <c r="E178" s="21"/>
      <c r="F178" s="10"/>
      <c r="G178" s="43"/>
    </row>
    <row r="179" spans="1:7">
      <c r="A179" s="6"/>
      <c r="B179" s="42">
        <v>10</v>
      </c>
      <c r="C179" s="21" t="s">
        <v>185</v>
      </c>
      <c r="D179" s="21"/>
      <c r="E179" s="21"/>
      <c r="F179" s="10"/>
      <c r="G179" s="43"/>
    </row>
    <row r="180" spans="1:7">
      <c r="A180" s="6"/>
      <c r="B180" s="42">
        <v>11</v>
      </c>
      <c r="C180" s="21" t="s">
        <v>186</v>
      </c>
      <c r="D180" s="21"/>
      <c r="E180" s="21"/>
      <c r="F180" s="10"/>
      <c r="G180" s="43"/>
    </row>
    <row r="181" spans="1:7">
      <c r="A181" s="6"/>
      <c r="B181" s="42">
        <v>12</v>
      </c>
      <c r="C181" s="21" t="s">
        <v>187</v>
      </c>
      <c r="D181" s="21"/>
      <c r="E181" s="21"/>
      <c r="F181" s="10"/>
      <c r="G181" s="43"/>
    </row>
    <row r="182" spans="1:7">
      <c r="A182" s="6"/>
      <c r="B182" s="42">
        <v>13</v>
      </c>
      <c r="C182" s="21" t="s">
        <v>188</v>
      </c>
      <c r="D182" s="21"/>
      <c r="E182" s="21"/>
      <c r="F182" s="10"/>
      <c r="G182" s="43"/>
    </row>
    <row r="183" spans="1:7">
      <c r="A183" s="6"/>
      <c r="B183" s="42">
        <v>14</v>
      </c>
      <c r="C183" s="21" t="s">
        <v>189</v>
      </c>
      <c r="D183" s="21"/>
      <c r="E183" s="21"/>
      <c r="F183" s="10"/>
      <c r="G183" s="43"/>
    </row>
    <row r="184" spans="1:7">
      <c r="A184" s="6"/>
      <c r="B184" s="42">
        <v>15</v>
      </c>
      <c r="C184" s="21" t="s">
        <v>190</v>
      </c>
      <c r="D184" s="21"/>
      <c r="E184" s="21"/>
      <c r="F184" s="10"/>
      <c r="G184" s="43"/>
    </row>
    <row r="185" spans="1:7">
      <c r="A185" s="6"/>
      <c r="B185" s="42">
        <v>16</v>
      </c>
      <c r="C185" s="21" t="s">
        <v>191</v>
      </c>
      <c r="D185" s="21"/>
      <c r="E185" s="21"/>
      <c r="F185" s="10"/>
      <c r="G185" s="43"/>
    </row>
    <row r="186" spans="1:7">
      <c r="A186" s="6"/>
      <c r="B186" s="42">
        <v>17</v>
      </c>
      <c r="C186" s="21" t="s">
        <v>192</v>
      </c>
      <c r="D186" s="21"/>
      <c r="E186" s="21"/>
      <c r="F186" s="10"/>
      <c r="G186" s="43"/>
    </row>
    <row r="187" spans="1:7">
      <c r="A187" s="6"/>
      <c r="B187" s="42">
        <v>18</v>
      </c>
      <c r="C187" s="21" t="s">
        <v>193</v>
      </c>
      <c r="D187" s="21"/>
      <c r="E187" s="21"/>
      <c r="F187" s="10"/>
      <c r="G187" s="43"/>
    </row>
    <row r="188" spans="1:7">
      <c r="A188" s="6"/>
      <c r="B188" s="42">
        <v>19</v>
      </c>
      <c r="C188" s="21" t="s">
        <v>194</v>
      </c>
      <c r="D188" s="21"/>
      <c r="E188" s="21"/>
      <c r="F188" s="10"/>
      <c r="G188" s="43"/>
    </row>
    <row r="189" spans="1:7">
      <c r="A189" s="6"/>
      <c r="B189" s="42">
        <v>20</v>
      </c>
      <c r="C189" s="21" t="s">
        <v>195</v>
      </c>
      <c r="D189" s="21"/>
      <c r="E189" s="21"/>
      <c r="F189" s="10"/>
      <c r="G189" s="43"/>
    </row>
    <row r="190" spans="1:7">
      <c r="A190" s="6"/>
      <c r="B190" s="42">
        <v>21</v>
      </c>
      <c r="C190" s="21" t="s">
        <v>196</v>
      </c>
      <c r="D190" s="21"/>
      <c r="E190" s="21"/>
      <c r="F190" s="10"/>
      <c r="G190" s="43"/>
    </row>
    <row r="191" spans="1:7">
      <c r="A191" s="6"/>
      <c r="B191" s="42">
        <v>22</v>
      </c>
      <c r="C191" s="21" t="s">
        <v>197</v>
      </c>
      <c r="D191" s="21"/>
      <c r="E191" s="21"/>
      <c r="F191" s="10"/>
      <c r="G191" s="43"/>
    </row>
    <row r="192" spans="1:7">
      <c r="A192" s="6"/>
      <c r="B192" s="42">
        <v>23</v>
      </c>
      <c r="C192" s="21" t="s">
        <v>198</v>
      </c>
      <c r="D192" s="21"/>
      <c r="E192" s="21"/>
      <c r="F192" s="10"/>
      <c r="G192" s="43"/>
    </row>
    <row r="193" spans="1:7">
      <c r="A193" s="6"/>
      <c r="B193" s="42">
        <v>24</v>
      </c>
      <c r="C193" s="21" t="s">
        <v>199</v>
      </c>
      <c r="D193" s="21"/>
      <c r="E193" s="21"/>
      <c r="F193" s="10"/>
      <c r="G193" s="43"/>
    </row>
    <row r="194" spans="1:7">
      <c r="A194" s="6"/>
      <c r="B194" s="42">
        <v>25</v>
      </c>
      <c r="C194" s="21" t="s">
        <v>200</v>
      </c>
      <c r="D194" s="21"/>
      <c r="E194" s="21"/>
      <c r="F194" s="10"/>
      <c r="G194" s="43"/>
    </row>
    <row r="195" spans="1:7">
      <c r="A195" s="6"/>
      <c r="B195" s="42">
        <v>26</v>
      </c>
      <c r="C195" s="21" t="s">
        <v>201</v>
      </c>
      <c r="D195" s="21"/>
      <c r="E195" s="21"/>
      <c r="F195" s="10"/>
      <c r="G195" s="43"/>
    </row>
    <row r="196" spans="1:7">
      <c r="A196" s="6"/>
      <c r="B196" s="42">
        <v>27</v>
      </c>
      <c r="C196" s="21" t="s">
        <v>202</v>
      </c>
      <c r="D196" s="21"/>
      <c r="E196" s="21"/>
      <c r="F196" s="10"/>
      <c r="G196" s="43"/>
    </row>
    <row r="197" spans="1:7">
      <c r="A197" s="6"/>
      <c r="B197" s="42">
        <v>28</v>
      </c>
      <c r="C197" s="21" t="s">
        <v>203</v>
      </c>
      <c r="D197" s="21"/>
      <c r="E197" s="21"/>
      <c r="F197" s="10"/>
      <c r="G197" s="43"/>
    </row>
    <row r="198" spans="1:7">
      <c r="A198" s="6"/>
      <c r="B198" s="42">
        <v>29</v>
      </c>
      <c r="C198" s="21" t="s">
        <v>204</v>
      </c>
      <c r="D198" s="21"/>
      <c r="E198" s="21"/>
      <c r="F198" s="10"/>
      <c r="G198" s="43"/>
    </row>
    <row r="199" spans="1:7">
      <c r="A199" s="6"/>
      <c r="B199" s="42">
        <v>30</v>
      </c>
      <c r="C199" s="21" t="s">
        <v>205</v>
      </c>
      <c r="D199" s="21"/>
      <c r="E199" s="21"/>
      <c r="F199" s="10"/>
      <c r="G199" s="43"/>
    </row>
    <row r="200" spans="1:7">
      <c r="A200" s="6"/>
      <c r="B200" s="42">
        <v>31</v>
      </c>
      <c r="C200" s="21" t="s">
        <v>206</v>
      </c>
      <c r="D200" s="21"/>
      <c r="E200" s="21"/>
      <c r="F200" s="10"/>
      <c r="G200" s="43"/>
    </row>
    <row r="201" spans="1:7">
      <c r="A201" s="6"/>
      <c r="B201" s="42">
        <v>32</v>
      </c>
      <c r="C201" s="21" t="s">
        <v>207</v>
      </c>
      <c r="D201" s="21"/>
      <c r="E201" s="21"/>
      <c r="F201" s="10"/>
      <c r="G201" s="43"/>
    </row>
    <row r="202" spans="1:7">
      <c r="A202" s="6"/>
      <c r="B202" s="42">
        <v>33</v>
      </c>
      <c r="C202" s="21" t="s">
        <v>208</v>
      </c>
      <c r="D202" s="21"/>
      <c r="E202" s="21"/>
      <c r="F202" s="10"/>
      <c r="G202" s="43"/>
    </row>
    <row r="203" spans="1:7">
      <c r="A203" s="6"/>
      <c r="B203" s="42">
        <v>34</v>
      </c>
      <c r="C203" s="21" t="s">
        <v>209</v>
      </c>
      <c r="D203" s="21"/>
      <c r="E203" s="21"/>
      <c r="F203" s="10"/>
      <c r="G203" s="43"/>
    </row>
    <row r="204" spans="1:7">
      <c r="A204" s="6"/>
      <c r="B204" s="42">
        <v>35</v>
      </c>
      <c r="C204" s="21" t="s">
        <v>210</v>
      </c>
      <c r="D204" s="21"/>
      <c r="E204" s="21"/>
      <c r="F204" s="10"/>
      <c r="G204" s="43"/>
    </row>
    <row r="205" spans="1:7">
      <c r="A205" s="6"/>
      <c r="B205" s="42">
        <v>36</v>
      </c>
      <c r="C205" s="21" t="s">
        <v>211</v>
      </c>
      <c r="D205" s="21"/>
      <c r="E205" s="21"/>
      <c r="F205" s="10"/>
      <c r="G205" s="43"/>
    </row>
    <row r="206" spans="1:7">
      <c r="A206" s="6"/>
      <c r="B206" s="42">
        <v>37</v>
      </c>
      <c r="C206" s="21" t="s">
        <v>212</v>
      </c>
      <c r="D206" s="21"/>
      <c r="E206" s="21"/>
      <c r="F206" s="10"/>
      <c r="G206" s="43"/>
    </row>
    <row r="207" spans="1:7">
      <c r="A207" s="6"/>
      <c r="B207" s="42">
        <v>38</v>
      </c>
      <c r="C207" s="21" t="s">
        <v>213</v>
      </c>
      <c r="D207" s="21"/>
      <c r="E207" s="21"/>
      <c r="F207" s="10"/>
      <c r="G207" s="43"/>
    </row>
    <row r="208" spans="1:7">
      <c r="A208" s="6"/>
      <c r="B208" s="42">
        <v>39</v>
      </c>
      <c r="C208" s="21" t="s">
        <v>214</v>
      </c>
      <c r="D208" s="21"/>
      <c r="E208" s="21"/>
      <c r="F208" s="10"/>
      <c r="G208" s="43"/>
    </row>
    <row r="209" spans="1:7">
      <c r="A209" s="6"/>
      <c r="B209" s="42">
        <v>40</v>
      </c>
      <c r="C209" s="21" t="s">
        <v>215</v>
      </c>
      <c r="D209" s="21"/>
      <c r="E209" s="21"/>
      <c r="F209" s="10"/>
      <c r="G209" s="43"/>
    </row>
    <row r="210" spans="1:7">
      <c r="A210" s="6"/>
      <c r="B210" s="42">
        <v>41</v>
      </c>
      <c r="C210" s="21" t="s">
        <v>216</v>
      </c>
      <c r="D210" s="21"/>
      <c r="E210" s="21"/>
      <c r="F210" s="10"/>
      <c r="G210" s="43"/>
    </row>
    <row r="211" spans="1:7">
      <c r="A211" s="6"/>
      <c r="B211" s="42">
        <v>42</v>
      </c>
      <c r="C211" s="21" t="s">
        <v>217</v>
      </c>
      <c r="D211" s="21"/>
      <c r="E211" s="21"/>
      <c r="F211" s="10"/>
      <c r="G211" s="43"/>
    </row>
    <row r="212" spans="1:7">
      <c r="A212" s="6"/>
      <c r="B212" s="42">
        <v>43</v>
      </c>
      <c r="C212" s="21" t="s">
        <v>218</v>
      </c>
      <c r="D212" s="21"/>
      <c r="E212" s="21"/>
      <c r="F212" s="10"/>
      <c r="G212" s="43"/>
    </row>
    <row r="213" spans="1:7">
      <c r="A213" s="6"/>
      <c r="B213" s="42">
        <v>44</v>
      </c>
      <c r="C213" s="21" t="s">
        <v>219</v>
      </c>
      <c r="D213" s="21"/>
      <c r="E213" s="21"/>
      <c r="F213" s="10"/>
      <c r="G213" s="43"/>
    </row>
    <row r="214" spans="1:7">
      <c r="A214" s="6"/>
      <c r="B214" s="42">
        <v>45</v>
      </c>
      <c r="C214" s="21" t="s">
        <v>220</v>
      </c>
      <c r="D214" s="21"/>
      <c r="E214" s="21"/>
      <c r="F214" s="10"/>
      <c r="G214" s="43"/>
    </row>
    <row r="215" spans="1:7">
      <c r="A215" s="6"/>
      <c r="B215" s="42">
        <v>46</v>
      </c>
      <c r="C215" s="21" t="s">
        <v>221</v>
      </c>
      <c r="D215" s="21"/>
      <c r="E215" s="21"/>
      <c r="F215" s="10"/>
      <c r="G215" s="43"/>
    </row>
    <row r="216" spans="1:7">
      <c r="A216" s="6"/>
      <c r="B216" s="42">
        <v>47</v>
      </c>
      <c r="C216" s="21" t="s">
        <v>222</v>
      </c>
      <c r="D216" s="21"/>
      <c r="E216" s="21"/>
      <c r="F216" s="10"/>
      <c r="G216" s="43"/>
    </row>
    <row r="217" spans="1:7">
      <c r="A217" s="6"/>
      <c r="B217" s="42">
        <v>48</v>
      </c>
      <c r="C217" s="21" t="s">
        <v>223</v>
      </c>
      <c r="D217" s="21"/>
      <c r="E217" s="21"/>
      <c r="F217" s="10"/>
      <c r="G217" s="43"/>
    </row>
    <row r="218" spans="1:7">
      <c r="A218" s="6"/>
      <c r="B218" s="42">
        <v>49</v>
      </c>
      <c r="C218" s="21" t="s">
        <v>224</v>
      </c>
      <c r="D218" s="21"/>
      <c r="E218" s="21"/>
      <c r="F218" s="10"/>
      <c r="G218" s="43"/>
    </row>
    <row r="219" spans="1:7">
      <c r="A219" s="6"/>
      <c r="B219" s="42">
        <v>50</v>
      </c>
      <c r="C219" s="21" t="s">
        <v>225</v>
      </c>
      <c r="D219" s="21"/>
      <c r="E219" s="21"/>
      <c r="F219" s="10"/>
      <c r="G219" s="43"/>
    </row>
    <row r="220" spans="1:7">
      <c r="A220" s="6"/>
      <c r="B220" s="42">
        <v>51</v>
      </c>
      <c r="C220" s="21" t="s">
        <v>226</v>
      </c>
      <c r="D220" s="21"/>
      <c r="E220" s="21"/>
      <c r="F220" s="10"/>
      <c r="G220" s="43"/>
    </row>
    <row r="221" spans="1:7">
      <c r="A221" s="6"/>
      <c r="B221" s="42">
        <v>52</v>
      </c>
      <c r="C221" s="21" t="s">
        <v>227</v>
      </c>
      <c r="D221" s="21"/>
      <c r="E221" s="21"/>
      <c r="F221" s="10"/>
      <c r="G221" s="43"/>
    </row>
    <row r="222" spans="1:7">
      <c r="A222" s="6"/>
      <c r="B222" s="42">
        <v>53</v>
      </c>
      <c r="C222" s="21" t="s">
        <v>228</v>
      </c>
      <c r="D222" s="21"/>
      <c r="E222" s="21"/>
      <c r="F222" s="10"/>
      <c r="G222" s="43"/>
    </row>
    <row r="223" spans="1:7">
      <c r="A223" s="6"/>
      <c r="B223" s="42">
        <v>54</v>
      </c>
      <c r="C223" s="21"/>
      <c r="D223" s="21"/>
      <c r="E223" s="21"/>
      <c r="F223" s="10"/>
      <c r="G223" s="43"/>
    </row>
    <row r="224" spans="1:7">
      <c r="A224" s="6"/>
      <c r="B224" s="42">
        <v>62</v>
      </c>
      <c r="C224" s="21"/>
      <c r="D224" s="21"/>
      <c r="E224" s="21"/>
      <c r="F224" s="10"/>
      <c r="G224" s="43"/>
    </row>
    <row r="225" spans="1:9">
      <c r="A225" s="6"/>
      <c r="B225" s="42">
        <v>63</v>
      </c>
      <c r="C225" s="21"/>
      <c r="D225" s="21"/>
      <c r="E225" s="21"/>
      <c r="F225" s="10"/>
      <c r="G225" s="43"/>
    </row>
    <row r="226" spans="1:9">
      <c r="A226" s="6"/>
      <c r="B226" s="42">
        <v>64</v>
      </c>
      <c r="C226" s="21"/>
      <c r="D226" s="21"/>
      <c r="E226" s="21"/>
      <c r="F226" s="10"/>
      <c r="G226" s="43"/>
    </row>
    <row r="227" spans="1:9">
      <c r="A227" s="6"/>
      <c r="B227" s="42">
        <v>65</v>
      </c>
      <c r="C227" s="21"/>
      <c r="D227" s="21"/>
      <c r="E227" s="21"/>
      <c r="F227" s="10"/>
      <c r="G227" s="43"/>
    </row>
    <row r="228" spans="1:9">
      <c r="A228" s="6"/>
      <c r="B228" s="42">
        <v>66</v>
      </c>
      <c r="C228" s="21"/>
      <c r="D228" s="21"/>
      <c r="E228" s="21"/>
      <c r="F228" s="10"/>
      <c r="G228" s="43"/>
    </row>
    <row r="229" spans="1:9" ht="3" customHeight="1">
      <c r="A229" s="6"/>
      <c r="B229" s="39"/>
      <c r="C229" s="39"/>
      <c r="D229" s="39"/>
      <c r="E229" s="39"/>
      <c r="F229" s="39"/>
      <c r="G229" s="39"/>
    </row>
    <row r="230" spans="1:9">
      <c r="A230" s="6"/>
      <c r="C230" s="11" t="s">
        <v>229</v>
      </c>
    </row>
    <row r="231" spans="1:9">
      <c r="A231" s="6"/>
      <c r="B231" s="7" t="s">
        <v>230</v>
      </c>
      <c r="C231" s="7"/>
      <c r="D231" s="7"/>
      <c r="E231" s="7"/>
      <c r="F231" s="7"/>
      <c r="G231" s="7"/>
      <c r="H231" s="7"/>
      <c r="I231" s="7"/>
    </row>
    <row r="232" spans="1:9">
      <c r="A232" s="6"/>
    </row>
    <row r="233" spans="1:9">
      <c r="A233" s="6"/>
      <c r="B233" t="s">
        <v>230</v>
      </c>
      <c r="C233" s="4" t="s">
        <v>29</v>
      </c>
      <c r="D233" s="4"/>
      <c r="E233" s="4"/>
      <c r="F233" s="4" t="s">
        <v>30</v>
      </c>
      <c r="G233" s="4" t="s">
        <v>31</v>
      </c>
    </row>
    <row r="234" spans="1:9" ht="3" customHeight="1">
      <c r="A234" s="6"/>
      <c r="B234" s="39"/>
      <c r="C234" s="39"/>
      <c r="D234" s="39"/>
      <c r="E234" s="39"/>
      <c r="F234" s="40"/>
      <c r="G234" s="39"/>
    </row>
    <row r="235" spans="1:9">
      <c r="A235" s="6"/>
      <c r="B235" s="42">
        <v>1</v>
      </c>
      <c r="C235" s="21" t="s">
        <v>231</v>
      </c>
      <c r="D235" s="21"/>
      <c r="E235" s="21"/>
      <c r="F235" s="10"/>
      <c r="G235" s="43"/>
    </row>
    <row r="236" spans="1:9">
      <c r="A236" s="6"/>
      <c r="B236" s="42">
        <v>2</v>
      </c>
      <c r="C236" s="21" t="s">
        <v>232</v>
      </c>
      <c r="D236" s="21"/>
      <c r="E236" s="21"/>
      <c r="F236" s="10"/>
      <c r="G236" s="43"/>
    </row>
    <row r="237" spans="1:9">
      <c r="A237" s="6"/>
      <c r="B237" s="42">
        <v>3</v>
      </c>
      <c r="C237" s="21" t="s">
        <v>233</v>
      </c>
      <c r="D237" s="21"/>
      <c r="E237" s="21"/>
      <c r="F237" s="10"/>
      <c r="G237" s="43"/>
    </row>
    <row r="238" spans="1:9" ht="3" customHeight="1">
      <c r="A238" s="6"/>
      <c r="B238" s="39"/>
      <c r="C238" s="39"/>
      <c r="D238" s="39"/>
      <c r="E238" s="39"/>
      <c r="F238" s="39"/>
      <c r="G238" s="39"/>
    </row>
    <row r="239" spans="1:9">
      <c r="A239" s="6"/>
      <c r="C239" s="24" t="s">
        <v>230</v>
      </c>
    </row>
    <row r="240" spans="1:9">
      <c r="A240" s="6"/>
      <c r="B240" s="7" t="s">
        <v>230</v>
      </c>
      <c r="C240" s="7"/>
      <c r="D240" s="7"/>
      <c r="E240" s="7"/>
      <c r="F240" s="7"/>
      <c r="G240" s="7"/>
      <c r="H240" s="7"/>
      <c r="I240" s="7"/>
    </row>
    <row r="241" spans="1:7">
      <c r="A241" s="6"/>
    </row>
    <row r="242" spans="1:7">
      <c r="A242" s="6"/>
      <c r="B242" t="s">
        <v>230</v>
      </c>
      <c r="C242" s="4" t="s">
        <v>29</v>
      </c>
      <c r="D242" s="4"/>
      <c r="E242" s="4"/>
      <c r="F242" s="4" t="s">
        <v>30</v>
      </c>
      <c r="G242" s="4" t="s">
        <v>31</v>
      </c>
    </row>
    <row r="243" spans="1:7">
      <c r="A243" s="6"/>
      <c r="B243" s="39"/>
      <c r="C243" s="39"/>
      <c r="D243" s="39"/>
      <c r="E243" s="39"/>
      <c r="F243" s="40"/>
      <c r="G243" s="39"/>
    </row>
    <row r="244" spans="1:7">
      <c r="A244" s="6"/>
      <c r="B244" s="42">
        <v>1</v>
      </c>
      <c r="C244" s="21" t="s">
        <v>231</v>
      </c>
      <c r="D244" s="21"/>
      <c r="E244" s="21"/>
      <c r="F244" s="10"/>
      <c r="G244" s="43"/>
    </row>
    <row r="245" spans="1:7">
      <c r="A245" s="6"/>
      <c r="B245" s="42">
        <v>2</v>
      </c>
      <c r="C245" s="21" t="s">
        <v>232</v>
      </c>
      <c r="D245" s="21"/>
      <c r="E245" s="21"/>
      <c r="F245" s="10"/>
      <c r="G245" s="43"/>
    </row>
    <row r="246" spans="1:7">
      <c r="A246" s="6"/>
      <c r="B246" s="42">
        <v>3</v>
      </c>
      <c r="C246" s="21" t="s">
        <v>233</v>
      </c>
      <c r="D246" s="21"/>
      <c r="E246" s="21"/>
      <c r="F246" s="10"/>
      <c r="G246" s="43"/>
    </row>
    <row r="247" spans="1:7">
      <c r="A247" s="6"/>
      <c r="B247" s="39"/>
      <c r="C247" s="39"/>
      <c r="D247" s="39"/>
      <c r="E247" s="39"/>
      <c r="F247" s="39"/>
      <c r="G247" s="39"/>
    </row>
    <row r="248" spans="1:7">
      <c r="A248" s="6"/>
    </row>
    <row r="249" spans="1:7">
      <c r="A249" s="6"/>
    </row>
    <row r="250" spans="1:7">
      <c r="A250" s="6"/>
    </row>
    <row r="251" spans="1:7">
      <c r="A251" s="6"/>
    </row>
    <row r="252" spans="1:7">
      <c r="A252" s="6"/>
    </row>
    <row r="253" spans="1:7">
      <c r="A253" s="6"/>
    </row>
    <row r="254" spans="1:7">
      <c r="A254" s="6"/>
    </row>
    <row r="255" spans="1:7">
      <c r="A255" s="6"/>
    </row>
  </sheetData>
  <conditionalFormatting sqref="C43:G51 C53">
    <cfRule type="expression" dxfId="54" priority="12" stopIfTrue="1">
      <formula>$G43="N"</formula>
    </cfRule>
  </conditionalFormatting>
  <conditionalFormatting sqref="E1">
    <cfRule type="cellIs" dxfId="53" priority="6" stopIfTrue="1" operator="greaterThan">
      <formula>0</formula>
    </cfRule>
    <cfRule type="cellIs" dxfId="52" priority="7" stopIfTrue="1" operator="lessThan">
      <formula>0</formula>
    </cfRule>
  </conditionalFormatting>
  <conditionalFormatting sqref="H43:H51">
    <cfRule type="cellIs" dxfId="51" priority="5" stopIfTrue="1" operator="equal">
      <formula>"Y"</formula>
    </cfRule>
  </conditionalFormatting>
  <conditionalFormatting sqref="H31:H36">
    <cfRule type="cellIs" dxfId="50" priority="4" stopIfTrue="1" operator="equal">
      <formula>"Y"</formula>
    </cfRule>
  </conditionalFormatting>
  <conditionalFormatting sqref="H74:H83">
    <cfRule type="cellIs" dxfId="49" priority="3" stopIfTrue="1" operator="equal">
      <formula>"Y"</formula>
    </cfRule>
  </conditionalFormatting>
  <dataValidations disablePrompts="1" count="1">
    <dataValidation type="list" allowBlank="1" showInputMessage="1" showErrorMessage="1" sqref="H43:H51 H31:H36 H74:H83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V500"/>
  <sheetViews>
    <sheetView showGridLines="0" zoomScale="90" zoomScaleNormal="90" workbookViewId="0">
      <selection activeCell="GR12" sqref="GR12"/>
    </sheetView>
  </sheetViews>
  <sheetFormatPr defaultRowHeight="15" zeroHeight="1"/>
  <cols>
    <col min="3" max="3" width="8.85546875" bestFit="1" customWidth="1"/>
    <col min="4" max="4" width="12.42578125" bestFit="1" customWidth="1"/>
    <col min="5" max="5" width="11.28515625" bestFit="1" customWidth="1"/>
    <col min="6" max="6" width="11.140625" bestFit="1" customWidth="1"/>
    <col min="7" max="7" width="15" bestFit="1" customWidth="1"/>
    <col min="8" max="8" width="13.85546875" bestFit="1" customWidth="1"/>
    <col min="9" max="9" width="7" bestFit="1" customWidth="1"/>
    <col min="10" max="10" width="14.42578125" customWidth="1"/>
    <col min="11" max="11" width="16.140625" customWidth="1"/>
    <col min="12" max="12" width="13.140625" customWidth="1"/>
    <col min="13" max="13" width="10.42578125" customWidth="1"/>
    <col min="14" max="14" width="7.140625" bestFit="1" customWidth="1"/>
    <col min="15" max="15" width="8.140625" customWidth="1"/>
    <col min="16" max="16" width="7.140625" bestFit="1" customWidth="1"/>
    <col min="17" max="17" width="10.5703125" bestFit="1" customWidth="1"/>
    <col min="18" max="18" width="12.85546875" bestFit="1" customWidth="1"/>
    <col min="19" max="19" width="12.42578125" bestFit="1" customWidth="1"/>
    <col min="20" max="21" width="12.85546875" bestFit="1" customWidth="1"/>
    <col min="22" max="22" width="12.42578125" bestFit="1" customWidth="1"/>
    <col min="23" max="23" width="12.5703125" bestFit="1" customWidth="1"/>
    <col min="24" max="24" width="12.7109375" bestFit="1" customWidth="1"/>
    <col min="25" max="25" width="12.5703125" bestFit="1" customWidth="1"/>
    <col min="26" max="26" width="13" bestFit="1" customWidth="1"/>
    <col min="27" max="27" width="12.42578125" bestFit="1" customWidth="1"/>
    <col min="28" max="28" width="11.7109375" bestFit="1" customWidth="1"/>
    <col min="29" max="30" width="12.85546875" bestFit="1" customWidth="1"/>
    <col min="31" max="31" width="12.42578125" bestFit="1" customWidth="1"/>
    <col min="32" max="33" width="12.85546875" bestFit="1" customWidth="1"/>
    <col min="34" max="34" width="12.42578125" bestFit="1" customWidth="1"/>
    <col min="35" max="35" width="12.5703125" bestFit="1" customWidth="1"/>
    <col min="36" max="36" width="12.7109375" bestFit="1" customWidth="1"/>
    <col min="37" max="37" width="12.5703125" bestFit="1" customWidth="1"/>
    <col min="38" max="38" width="13" bestFit="1" customWidth="1"/>
    <col min="39" max="39" width="12.42578125" bestFit="1" customWidth="1"/>
    <col min="40" max="40" width="11.7109375" bestFit="1" customWidth="1"/>
    <col min="41" max="42" width="12.85546875" bestFit="1" customWidth="1"/>
    <col min="43" max="43" width="12.42578125" bestFit="1" customWidth="1"/>
    <col min="44" max="45" width="12.85546875" bestFit="1" customWidth="1"/>
    <col min="46" max="46" width="12.42578125" bestFit="1" customWidth="1"/>
    <col min="47" max="47" width="12.5703125" bestFit="1" customWidth="1"/>
    <col min="48" max="48" width="12.7109375" bestFit="1" customWidth="1"/>
    <col min="49" max="49" width="12.5703125" bestFit="1" customWidth="1"/>
    <col min="50" max="50" width="13" bestFit="1" customWidth="1"/>
    <col min="51" max="51" width="12.42578125" bestFit="1" customWidth="1"/>
    <col min="52" max="52" width="11.7109375" bestFit="1" customWidth="1"/>
    <col min="53" max="54" width="12.85546875" bestFit="1" customWidth="1"/>
    <col min="55" max="55" width="12.42578125" bestFit="1" customWidth="1"/>
    <col min="56" max="57" width="12.85546875" bestFit="1" customWidth="1"/>
    <col min="58" max="58" width="12.42578125" bestFit="1" customWidth="1"/>
    <col min="59" max="59" width="12.5703125" bestFit="1" customWidth="1"/>
    <col min="60" max="60" width="12.7109375" bestFit="1" customWidth="1"/>
    <col min="61" max="61" width="12.5703125" bestFit="1" customWidth="1"/>
    <col min="62" max="62" width="13" bestFit="1" customWidth="1"/>
    <col min="63" max="63" width="12.42578125" bestFit="1" customWidth="1"/>
    <col min="64" max="64" width="11.7109375" bestFit="1" customWidth="1"/>
    <col min="65" max="66" width="12.85546875" bestFit="1" customWidth="1"/>
    <col min="67" max="67" width="12.42578125" bestFit="1" customWidth="1"/>
    <col min="68" max="69" width="12.85546875" bestFit="1" customWidth="1"/>
    <col min="70" max="70" width="12.42578125" bestFit="1" customWidth="1"/>
    <col min="71" max="71" width="12.5703125" bestFit="1" customWidth="1"/>
    <col min="72" max="72" width="12.7109375" bestFit="1" customWidth="1"/>
    <col min="73" max="73" width="12.5703125" bestFit="1" customWidth="1"/>
    <col min="74" max="74" width="13" bestFit="1" customWidth="1"/>
    <col min="75" max="75" width="12.42578125" bestFit="1" customWidth="1"/>
    <col min="76" max="76" width="11.7109375" bestFit="1" customWidth="1"/>
    <col min="77" max="78" width="12.85546875" bestFit="1" customWidth="1"/>
    <col min="79" max="79" width="12.42578125" bestFit="1" customWidth="1"/>
    <col min="80" max="81" width="12.85546875" bestFit="1" customWidth="1"/>
    <col min="82" max="82" width="12.42578125" bestFit="1" customWidth="1"/>
    <col min="83" max="83" width="12.5703125" bestFit="1" customWidth="1"/>
    <col min="84" max="84" width="12.7109375" bestFit="1" customWidth="1"/>
    <col min="85" max="85" width="12.5703125" bestFit="1" customWidth="1"/>
    <col min="86" max="86" width="13" bestFit="1" customWidth="1"/>
    <col min="87" max="87" width="12.42578125" bestFit="1" customWidth="1"/>
    <col min="88" max="88" width="11.7109375" bestFit="1" customWidth="1"/>
    <col min="89" max="90" width="12.85546875" bestFit="1" customWidth="1"/>
    <col min="91" max="91" width="12.42578125" bestFit="1" customWidth="1"/>
    <col min="92" max="93" width="12.85546875" bestFit="1" customWidth="1"/>
    <col min="94" max="94" width="12.42578125" bestFit="1" customWidth="1"/>
    <col min="95" max="95" width="12.5703125" bestFit="1" customWidth="1"/>
    <col min="96" max="96" width="12.7109375" bestFit="1" customWidth="1"/>
    <col min="97" max="97" width="12.5703125" bestFit="1" customWidth="1"/>
    <col min="98" max="98" width="13" bestFit="1" customWidth="1"/>
    <col min="99" max="99" width="12.42578125" bestFit="1" customWidth="1"/>
    <col min="100" max="100" width="11.7109375" bestFit="1" customWidth="1"/>
    <col min="101" max="102" width="12.85546875" bestFit="1" customWidth="1"/>
    <col min="103" max="103" width="12.42578125" bestFit="1" customWidth="1"/>
    <col min="104" max="105" width="12.85546875" bestFit="1" customWidth="1"/>
    <col min="106" max="106" width="12.42578125" bestFit="1" customWidth="1"/>
    <col min="107" max="107" width="12.5703125" bestFit="1" customWidth="1"/>
    <col min="108" max="108" width="12.7109375" bestFit="1" customWidth="1"/>
    <col min="109" max="109" width="12.5703125" bestFit="1" customWidth="1"/>
    <col min="110" max="110" width="13" bestFit="1" customWidth="1"/>
    <col min="111" max="111" width="12.42578125" bestFit="1" customWidth="1"/>
    <col min="112" max="112" width="11.7109375" bestFit="1" customWidth="1"/>
    <col min="113" max="114" width="12.85546875" bestFit="1" customWidth="1"/>
    <col min="115" max="115" width="12.42578125" bestFit="1" customWidth="1"/>
    <col min="116" max="117" width="12.85546875" bestFit="1" customWidth="1"/>
    <col min="118" max="118" width="12.42578125" bestFit="1" customWidth="1"/>
    <col min="119" max="119" width="12.5703125" bestFit="1" customWidth="1"/>
    <col min="120" max="120" width="12.7109375" bestFit="1" customWidth="1"/>
    <col min="121" max="121" width="12.5703125" bestFit="1" customWidth="1"/>
    <col min="122" max="122" width="13" bestFit="1" customWidth="1"/>
    <col min="123" max="123" width="12.42578125" bestFit="1" customWidth="1"/>
    <col min="124" max="124" width="11.7109375" bestFit="1" customWidth="1"/>
    <col min="125" max="126" width="12.85546875" bestFit="1" customWidth="1"/>
    <col min="127" max="127" width="12.42578125" bestFit="1" customWidth="1"/>
    <col min="128" max="129" width="12.85546875" bestFit="1" customWidth="1"/>
    <col min="130" max="130" width="12.42578125" bestFit="1" customWidth="1"/>
    <col min="131" max="131" width="12.5703125" bestFit="1" customWidth="1"/>
    <col min="132" max="132" width="12.7109375" bestFit="1" customWidth="1"/>
    <col min="133" max="133" width="12.5703125" bestFit="1" customWidth="1"/>
    <col min="134" max="134" width="13" bestFit="1" customWidth="1"/>
    <col min="135" max="135" width="12.42578125" bestFit="1" customWidth="1"/>
    <col min="136" max="136" width="11.7109375" bestFit="1" customWidth="1"/>
    <col min="137" max="138" width="12.85546875" bestFit="1" customWidth="1"/>
    <col min="139" max="139" width="12.42578125" bestFit="1" customWidth="1"/>
    <col min="140" max="141" width="12.85546875" bestFit="1" customWidth="1"/>
    <col min="142" max="142" width="12.42578125" bestFit="1" customWidth="1"/>
    <col min="143" max="143" width="12.5703125" bestFit="1" customWidth="1"/>
    <col min="144" max="144" width="12.7109375" bestFit="1" customWidth="1"/>
    <col min="145" max="145" width="12.5703125" bestFit="1" customWidth="1"/>
    <col min="146" max="146" width="13" bestFit="1" customWidth="1"/>
    <col min="147" max="147" width="12.42578125" bestFit="1" customWidth="1"/>
    <col min="148" max="148" width="11.7109375" bestFit="1" customWidth="1"/>
    <col min="149" max="150" width="12.85546875" bestFit="1" customWidth="1"/>
    <col min="151" max="151" width="12.42578125" bestFit="1" customWidth="1"/>
    <col min="152" max="153" width="12.85546875" bestFit="1" customWidth="1"/>
    <col min="154" max="154" width="12.42578125" bestFit="1" customWidth="1"/>
    <col min="155" max="155" width="12.5703125" bestFit="1" customWidth="1"/>
    <col min="156" max="156" width="12.7109375" bestFit="1" customWidth="1"/>
    <col min="157" max="157" width="12.5703125" bestFit="1" customWidth="1"/>
    <col min="158" max="158" width="13" bestFit="1" customWidth="1"/>
    <col min="159" max="159" width="12.42578125" bestFit="1" customWidth="1"/>
    <col min="160" max="160" width="11.7109375" bestFit="1" customWidth="1"/>
    <col min="161" max="162" width="12.85546875" bestFit="1" customWidth="1"/>
    <col min="163" max="163" width="12.42578125" bestFit="1" customWidth="1"/>
    <col min="164" max="165" width="12.85546875" bestFit="1" customWidth="1"/>
    <col min="166" max="166" width="12.42578125" bestFit="1" customWidth="1"/>
    <col min="167" max="167" width="12.5703125" bestFit="1" customWidth="1"/>
    <col min="168" max="168" width="12.7109375" bestFit="1" customWidth="1"/>
    <col min="169" max="169" width="12.5703125" bestFit="1" customWidth="1"/>
    <col min="170" max="170" width="13" bestFit="1" customWidth="1"/>
    <col min="171" max="171" width="12.42578125" bestFit="1" customWidth="1"/>
    <col min="172" max="172" width="11.7109375" bestFit="1" customWidth="1"/>
    <col min="173" max="174" width="12.85546875" bestFit="1" customWidth="1"/>
    <col min="175" max="175" width="12.42578125" bestFit="1" customWidth="1"/>
    <col min="176" max="177" width="12.85546875" bestFit="1" customWidth="1"/>
    <col min="178" max="178" width="12.42578125" bestFit="1" customWidth="1"/>
    <col min="179" max="179" width="12.5703125" bestFit="1" customWidth="1"/>
    <col min="180" max="180" width="12.7109375" bestFit="1" customWidth="1"/>
    <col min="181" max="181" width="12.5703125" bestFit="1" customWidth="1"/>
    <col min="182" max="182" width="13" bestFit="1" customWidth="1"/>
    <col min="183" max="183" width="12.42578125" bestFit="1" customWidth="1"/>
    <col min="184" max="184" width="11.7109375" bestFit="1" customWidth="1"/>
    <col min="185" max="186" width="12.85546875" bestFit="1" customWidth="1"/>
    <col min="187" max="187" width="12.42578125" bestFit="1" customWidth="1"/>
    <col min="188" max="188" width="2.7109375" customWidth="1"/>
    <col min="189" max="189" width="12" customWidth="1"/>
    <col min="191" max="191" width="14.28515625" customWidth="1"/>
    <col min="192" max="193" width="13.140625" customWidth="1"/>
    <col min="194" max="194" width="14.85546875" customWidth="1"/>
    <col min="196" max="196" width="2.7109375" customWidth="1"/>
    <col min="197" max="200" width="6.7109375" customWidth="1"/>
    <col min="201" max="201" width="0.85546875" customWidth="1"/>
    <col min="202" max="203" width="6.7109375" customWidth="1"/>
    <col min="204" max="204" width="2.7109375" customWidth="1"/>
  </cols>
  <sheetData>
    <row r="1" spans="1:204">
      <c r="A1" s="2" t="s">
        <v>481</v>
      </c>
      <c r="B1" s="2"/>
      <c r="C1" s="2"/>
      <c r="D1" s="2"/>
      <c r="E1" s="2"/>
      <c r="F1" s="2"/>
      <c r="G1" s="3">
        <v>0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</row>
    <row r="2" spans="1:204">
      <c r="A2" s="130" t="s">
        <v>2</v>
      </c>
    </row>
    <row r="3" spans="1:204">
      <c r="A3" s="131" t="s">
        <v>480</v>
      </c>
    </row>
    <row r="4" spans="1:204">
      <c r="A4" s="131" t="s">
        <v>482</v>
      </c>
    </row>
    <row r="5" spans="1:204"/>
    <row r="6" spans="1:204" ht="15.75" thickBot="1"/>
    <row r="7" spans="1:204" ht="15.75" thickBot="1">
      <c r="A7" s="7"/>
      <c r="B7" s="7" t="s">
        <v>487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150"/>
      <c r="GG7" s="7"/>
      <c r="GH7" s="7"/>
      <c r="GI7" s="7"/>
      <c r="GJ7" s="7"/>
      <c r="GK7" s="7"/>
      <c r="GL7" s="7"/>
      <c r="GM7" s="7"/>
      <c r="GN7" s="150"/>
      <c r="GO7" s="7"/>
      <c r="GP7" s="7"/>
      <c r="GQ7" s="7"/>
      <c r="GR7" s="7"/>
      <c r="GS7" s="151"/>
      <c r="GT7" s="7"/>
      <c r="GU7" s="7"/>
      <c r="GV7" s="150"/>
    </row>
    <row r="8" spans="1:204">
      <c r="N8" s="4" t="s">
        <v>343</v>
      </c>
      <c r="Q8" s="152" t="s">
        <v>347</v>
      </c>
      <c r="R8" s="153" t="s">
        <v>347</v>
      </c>
      <c r="S8" s="153" t="s">
        <v>347</v>
      </c>
      <c r="T8" s="153" t="s">
        <v>347</v>
      </c>
      <c r="U8" s="153" t="s">
        <v>347</v>
      </c>
      <c r="V8" s="153" t="s">
        <v>261</v>
      </c>
      <c r="W8" s="153" t="s">
        <v>261</v>
      </c>
      <c r="X8" s="153" t="s">
        <v>261</v>
      </c>
      <c r="Y8" s="153" t="s">
        <v>261</v>
      </c>
      <c r="Z8" s="153" t="s">
        <v>261</v>
      </c>
      <c r="AA8" s="153" t="s">
        <v>261</v>
      </c>
      <c r="AB8" s="153" t="s">
        <v>261</v>
      </c>
      <c r="AC8" s="153" t="s">
        <v>261</v>
      </c>
      <c r="AD8" s="153" t="s">
        <v>261</v>
      </c>
      <c r="AE8" s="153" t="s">
        <v>261</v>
      </c>
      <c r="AF8" s="153" t="s">
        <v>261</v>
      </c>
      <c r="AG8" s="153" t="s">
        <v>261</v>
      </c>
      <c r="AH8" s="153" t="s">
        <v>262</v>
      </c>
      <c r="AI8" s="153" t="s">
        <v>262</v>
      </c>
      <c r="AJ8" s="153" t="s">
        <v>262</v>
      </c>
      <c r="AK8" s="153" t="s">
        <v>262</v>
      </c>
      <c r="AL8" s="153" t="s">
        <v>262</v>
      </c>
      <c r="AM8" s="153" t="s">
        <v>262</v>
      </c>
      <c r="AN8" s="153" t="s">
        <v>262</v>
      </c>
      <c r="AO8" s="153" t="s">
        <v>262</v>
      </c>
      <c r="AP8" s="153" t="s">
        <v>262</v>
      </c>
      <c r="AQ8" s="153" t="s">
        <v>262</v>
      </c>
      <c r="AR8" s="153" t="s">
        <v>262</v>
      </c>
      <c r="AS8" s="153" t="s">
        <v>262</v>
      </c>
      <c r="AT8" s="153" t="s">
        <v>263</v>
      </c>
      <c r="AU8" s="153" t="s">
        <v>263</v>
      </c>
      <c r="AV8" s="153" t="s">
        <v>263</v>
      </c>
      <c r="AW8" s="153" t="s">
        <v>263</v>
      </c>
      <c r="AX8" s="153" t="s">
        <v>263</v>
      </c>
      <c r="AY8" s="153" t="s">
        <v>263</v>
      </c>
      <c r="AZ8" s="153" t="s">
        <v>263</v>
      </c>
      <c r="BA8" s="153" t="s">
        <v>263</v>
      </c>
      <c r="BB8" s="153" t="s">
        <v>263</v>
      </c>
      <c r="BC8" s="153" t="s">
        <v>263</v>
      </c>
      <c r="BD8" s="153" t="s">
        <v>263</v>
      </c>
      <c r="BE8" s="153" t="s">
        <v>263</v>
      </c>
      <c r="BF8" s="153" t="s">
        <v>264</v>
      </c>
      <c r="BG8" s="153" t="s">
        <v>264</v>
      </c>
      <c r="BH8" s="153" t="s">
        <v>264</v>
      </c>
      <c r="BI8" s="153" t="s">
        <v>264</v>
      </c>
      <c r="BJ8" s="153" t="s">
        <v>264</v>
      </c>
      <c r="BK8" s="153" t="s">
        <v>264</v>
      </c>
      <c r="BL8" s="153" t="s">
        <v>264</v>
      </c>
      <c r="BM8" s="153" t="s">
        <v>264</v>
      </c>
      <c r="BN8" s="153" t="s">
        <v>264</v>
      </c>
      <c r="BO8" s="153" t="s">
        <v>264</v>
      </c>
      <c r="BP8" s="153" t="s">
        <v>264</v>
      </c>
      <c r="BQ8" s="153" t="s">
        <v>264</v>
      </c>
      <c r="BR8" s="153" t="s">
        <v>348</v>
      </c>
      <c r="BS8" s="153" t="s">
        <v>348</v>
      </c>
      <c r="BT8" s="153" t="s">
        <v>348</v>
      </c>
      <c r="BU8" s="153" t="s">
        <v>348</v>
      </c>
      <c r="BV8" s="153" t="s">
        <v>348</v>
      </c>
      <c r="BW8" s="153" t="s">
        <v>348</v>
      </c>
      <c r="BX8" s="153" t="s">
        <v>348</v>
      </c>
      <c r="BY8" s="153" t="s">
        <v>348</v>
      </c>
      <c r="BZ8" s="153" t="s">
        <v>348</v>
      </c>
      <c r="CA8" s="153" t="s">
        <v>348</v>
      </c>
      <c r="CB8" s="153" t="s">
        <v>348</v>
      </c>
      <c r="CC8" s="153" t="s">
        <v>348</v>
      </c>
      <c r="CD8" s="153" t="s">
        <v>349</v>
      </c>
      <c r="CE8" s="153" t="s">
        <v>349</v>
      </c>
      <c r="CF8" s="153" t="s">
        <v>349</v>
      </c>
      <c r="CG8" s="153" t="s">
        <v>349</v>
      </c>
      <c r="CH8" s="153" t="s">
        <v>349</v>
      </c>
      <c r="CI8" s="153" t="s">
        <v>349</v>
      </c>
      <c r="CJ8" s="153" t="s">
        <v>349</v>
      </c>
      <c r="CK8" s="153" t="s">
        <v>349</v>
      </c>
      <c r="CL8" s="153" t="s">
        <v>349</v>
      </c>
      <c r="CM8" s="153" t="s">
        <v>349</v>
      </c>
      <c r="CN8" s="153" t="s">
        <v>349</v>
      </c>
      <c r="CO8" s="153" t="s">
        <v>349</v>
      </c>
      <c r="CP8" s="153" t="s">
        <v>350</v>
      </c>
      <c r="CQ8" s="153" t="s">
        <v>350</v>
      </c>
      <c r="CR8" s="153" t="s">
        <v>350</v>
      </c>
      <c r="CS8" s="153" t="s">
        <v>350</v>
      </c>
      <c r="CT8" s="153" t="s">
        <v>350</v>
      </c>
      <c r="CU8" s="153" t="s">
        <v>350</v>
      </c>
      <c r="CV8" s="153" t="s">
        <v>350</v>
      </c>
      <c r="CW8" s="153" t="s">
        <v>350</v>
      </c>
      <c r="CX8" s="153" t="s">
        <v>350</v>
      </c>
      <c r="CY8" s="153" t="s">
        <v>350</v>
      </c>
      <c r="CZ8" s="153" t="s">
        <v>350</v>
      </c>
      <c r="DA8" s="153" t="s">
        <v>350</v>
      </c>
      <c r="DB8" s="153" t="s">
        <v>351</v>
      </c>
      <c r="DC8" s="153" t="s">
        <v>351</v>
      </c>
      <c r="DD8" s="153" t="s">
        <v>351</v>
      </c>
      <c r="DE8" s="153" t="s">
        <v>351</v>
      </c>
      <c r="DF8" s="153" t="s">
        <v>351</v>
      </c>
      <c r="DG8" s="153" t="s">
        <v>351</v>
      </c>
      <c r="DH8" s="153" t="s">
        <v>351</v>
      </c>
      <c r="DI8" s="153" t="s">
        <v>351</v>
      </c>
      <c r="DJ8" s="153" t="s">
        <v>351</v>
      </c>
      <c r="DK8" s="153" t="s">
        <v>351</v>
      </c>
      <c r="DL8" s="153" t="s">
        <v>351</v>
      </c>
      <c r="DM8" s="153" t="s">
        <v>351</v>
      </c>
      <c r="DN8" s="153" t="s">
        <v>352</v>
      </c>
      <c r="DO8" s="153" t="s">
        <v>352</v>
      </c>
      <c r="DP8" s="153" t="s">
        <v>352</v>
      </c>
      <c r="DQ8" s="153" t="s">
        <v>352</v>
      </c>
      <c r="DR8" s="153" t="s">
        <v>352</v>
      </c>
      <c r="DS8" s="153" t="s">
        <v>352</v>
      </c>
      <c r="DT8" s="153" t="s">
        <v>352</v>
      </c>
      <c r="DU8" s="153" t="s">
        <v>352</v>
      </c>
      <c r="DV8" s="153" t="s">
        <v>352</v>
      </c>
      <c r="DW8" s="153" t="s">
        <v>352</v>
      </c>
      <c r="DX8" s="153" t="s">
        <v>352</v>
      </c>
      <c r="DY8" s="153" t="s">
        <v>352</v>
      </c>
      <c r="DZ8" s="153" t="s">
        <v>353</v>
      </c>
      <c r="EA8" s="153" t="s">
        <v>353</v>
      </c>
      <c r="EB8" s="153" t="s">
        <v>353</v>
      </c>
      <c r="EC8" s="153" t="s">
        <v>353</v>
      </c>
      <c r="ED8" s="153" t="s">
        <v>353</v>
      </c>
      <c r="EE8" s="153" t="s">
        <v>353</v>
      </c>
      <c r="EF8" s="153" t="s">
        <v>353</v>
      </c>
      <c r="EG8" s="153" t="s">
        <v>353</v>
      </c>
      <c r="EH8" s="153" t="s">
        <v>353</v>
      </c>
      <c r="EI8" s="153" t="s">
        <v>353</v>
      </c>
      <c r="EJ8" s="153" t="s">
        <v>353</v>
      </c>
      <c r="EK8" s="153" t="s">
        <v>353</v>
      </c>
      <c r="EL8" s="153" t="s">
        <v>354</v>
      </c>
      <c r="EM8" s="153" t="s">
        <v>354</v>
      </c>
      <c r="EN8" s="153" t="s">
        <v>354</v>
      </c>
      <c r="EO8" s="153" t="s">
        <v>354</v>
      </c>
      <c r="EP8" s="153" t="s">
        <v>354</v>
      </c>
      <c r="EQ8" s="153" t="s">
        <v>354</v>
      </c>
      <c r="ER8" s="153" t="s">
        <v>354</v>
      </c>
      <c r="ES8" s="153" t="s">
        <v>354</v>
      </c>
      <c r="ET8" s="153" t="s">
        <v>354</v>
      </c>
      <c r="EU8" s="153" t="s">
        <v>354</v>
      </c>
      <c r="EV8" s="153" t="s">
        <v>354</v>
      </c>
      <c r="EW8" s="153" t="s">
        <v>354</v>
      </c>
      <c r="EX8" s="153" t="s">
        <v>355</v>
      </c>
      <c r="EY8" s="153" t="s">
        <v>355</v>
      </c>
      <c r="EZ8" s="153" t="s">
        <v>355</v>
      </c>
      <c r="FA8" s="153" t="s">
        <v>355</v>
      </c>
      <c r="FB8" s="153" t="s">
        <v>355</v>
      </c>
      <c r="FC8" s="153" t="s">
        <v>355</v>
      </c>
      <c r="FD8" s="153" t="s">
        <v>355</v>
      </c>
      <c r="FE8" s="153" t="s">
        <v>355</v>
      </c>
      <c r="FF8" s="153" t="s">
        <v>355</v>
      </c>
      <c r="FG8" s="153" t="s">
        <v>355</v>
      </c>
      <c r="FH8" s="153" t="s">
        <v>355</v>
      </c>
      <c r="FI8" s="153" t="s">
        <v>355</v>
      </c>
      <c r="FJ8" s="153" t="s">
        <v>356</v>
      </c>
      <c r="FK8" s="153" t="s">
        <v>356</v>
      </c>
      <c r="FL8" s="153" t="s">
        <v>356</v>
      </c>
      <c r="FM8" s="153" t="s">
        <v>356</v>
      </c>
      <c r="FN8" s="153" t="s">
        <v>356</v>
      </c>
      <c r="FO8" s="153" t="s">
        <v>356</v>
      </c>
      <c r="FP8" s="153" t="s">
        <v>356</v>
      </c>
      <c r="FQ8" s="153" t="s">
        <v>356</v>
      </c>
      <c r="FR8" s="153" t="s">
        <v>356</v>
      </c>
      <c r="FS8" s="153" t="s">
        <v>356</v>
      </c>
      <c r="FT8" s="153" t="s">
        <v>356</v>
      </c>
      <c r="FU8" s="153" t="s">
        <v>356</v>
      </c>
      <c r="FV8" s="153" t="s">
        <v>357</v>
      </c>
      <c r="FW8" s="153" t="s">
        <v>357</v>
      </c>
      <c r="FX8" s="153" t="s">
        <v>357</v>
      </c>
      <c r="FY8" s="153" t="s">
        <v>357</v>
      </c>
      <c r="FZ8" s="153" t="s">
        <v>357</v>
      </c>
      <c r="GA8" s="153" t="s">
        <v>357</v>
      </c>
      <c r="GB8" s="153" t="s">
        <v>357</v>
      </c>
      <c r="GC8" s="153" t="s">
        <v>357</v>
      </c>
      <c r="GD8" s="153" t="s">
        <v>357</v>
      </c>
      <c r="GE8" s="154" t="s">
        <v>357</v>
      </c>
      <c r="GF8" s="155"/>
      <c r="GN8" s="155"/>
      <c r="GO8" s="233" t="s">
        <v>488</v>
      </c>
      <c r="GP8" s="234"/>
      <c r="GQ8" s="234"/>
      <c r="GR8" s="235"/>
      <c r="GS8" s="156"/>
      <c r="GT8" s="242" t="s">
        <v>0</v>
      </c>
      <c r="GU8" s="243"/>
      <c r="GV8" s="155"/>
    </row>
    <row r="9" spans="1:204">
      <c r="N9" s="4" t="s">
        <v>489</v>
      </c>
      <c r="Q9" s="157">
        <v>38565</v>
      </c>
      <c r="R9" s="158">
        <v>38596</v>
      </c>
      <c r="S9" s="158">
        <v>38626</v>
      </c>
      <c r="T9" s="158">
        <v>38657</v>
      </c>
      <c r="U9" s="158">
        <v>38687</v>
      </c>
      <c r="V9" s="158">
        <v>38718</v>
      </c>
      <c r="W9" s="158">
        <v>38749</v>
      </c>
      <c r="X9" s="158">
        <v>38777</v>
      </c>
      <c r="Y9" s="158">
        <v>38808</v>
      </c>
      <c r="Z9" s="158">
        <v>38838</v>
      </c>
      <c r="AA9" s="158">
        <v>38869</v>
      </c>
      <c r="AB9" s="158">
        <v>38899</v>
      </c>
      <c r="AC9" s="158">
        <v>38930</v>
      </c>
      <c r="AD9" s="158">
        <v>38961</v>
      </c>
      <c r="AE9" s="158">
        <v>38991</v>
      </c>
      <c r="AF9" s="158">
        <v>39022</v>
      </c>
      <c r="AG9" s="158">
        <v>39052</v>
      </c>
      <c r="AH9" s="158">
        <v>39083</v>
      </c>
      <c r="AI9" s="158">
        <v>39114</v>
      </c>
      <c r="AJ9" s="158">
        <v>39142</v>
      </c>
      <c r="AK9" s="158">
        <v>39173</v>
      </c>
      <c r="AL9" s="158">
        <v>39203</v>
      </c>
      <c r="AM9" s="158">
        <v>39234</v>
      </c>
      <c r="AN9" s="158">
        <v>39264</v>
      </c>
      <c r="AO9" s="158">
        <v>39295</v>
      </c>
      <c r="AP9" s="158">
        <v>39326</v>
      </c>
      <c r="AQ9" s="158">
        <v>39356</v>
      </c>
      <c r="AR9" s="158">
        <v>39387</v>
      </c>
      <c r="AS9" s="158">
        <v>39417</v>
      </c>
      <c r="AT9" s="158">
        <v>39448</v>
      </c>
      <c r="AU9" s="158">
        <v>39479</v>
      </c>
      <c r="AV9" s="158">
        <v>39508</v>
      </c>
      <c r="AW9" s="158">
        <v>39539</v>
      </c>
      <c r="AX9" s="158">
        <v>39569</v>
      </c>
      <c r="AY9" s="158">
        <v>39600</v>
      </c>
      <c r="AZ9" s="158">
        <v>39630</v>
      </c>
      <c r="BA9" s="158">
        <v>39661</v>
      </c>
      <c r="BB9" s="158">
        <v>39692</v>
      </c>
      <c r="BC9" s="158">
        <v>39722</v>
      </c>
      <c r="BD9" s="158">
        <v>39753</v>
      </c>
      <c r="BE9" s="158">
        <v>39783</v>
      </c>
      <c r="BF9" s="158">
        <v>39814</v>
      </c>
      <c r="BG9" s="158">
        <v>39845</v>
      </c>
      <c r="BH9" s="158">
        <v>39873</v>
      </c>
      <c r="BI9" s="158">
        <v>39904</v>
      </c>
      <c r="BJ9" s="158">
        <v>39934</v>
      </c>
      <c r="BK9" s="158">
        <v>39965</v>
      </c>
      <c r="BL9" s="158">
        <v>39995</v>
      </c>
      <c r="BM9" s="158">
        <v>40026</v>
      </c>
      <c r="BN9" s="158">
        <v>40057</v>
      </c>
      <c r="BO9" s="158">
        <v>40087</v>
      </c>
      <c r="BP9" s="158">
        <v>40118</v>
      </c>
      <c r="BQ9" s="158">
        <v>40148</v>
      </c>
      <c r="BR9" s="158">
        <v>40179</v>
      </c>
      <c r="BS9" s="158">
        <v>40210</v>
      </c>
      <c r="BT9" s="158">
        <v>40238</v>
      </c>
      <c r="BU9" s="158">
        <v>40269</v>
      </c>
      <c r="BV9" s="158">
        <v>40299</v>
      </c>
      <c r="BW9" s="158">
        <v>40330</v>
      </c>
      <c r="BX9" s="158">
        <v>40360</v>
      </c>
      <c r="BY9" s="158">
        <v>40391</v>
      </c>
      <c r="BZ9" s="158">
        <v>40422</v>
      </c>
      <c r="CA9" s="158">
        <v>40452</v>
      </c>
      <c r="CB9" s="158">
        <v>40483</v>
      </c>
      <c r="CC9" s="158">
        <v>40513</v>
      </c>
      <c r="CD9" s="158">
        <v>40544</v>
      </c>
      <c r="CE9" s="158">
        <v>40575</v>
      </c>
      <c r="CF9" s="158">
        <v>40603</v>
      </c>
      <c r="CG9" s="158">
        <v>40634</v>
      </c>
      <c r="CH9" s="158">
        <v>40664</v>
      </c>
      <c r="CI9" s="158">
        <v>40695</v>
      </c>
      <c r="CJ9" s="158">
        <v>40725</v>
      </c>
      <c r="CK9" s="158">
        <v>40756</v>
      </c>
      <c r="CL9" s="158">
        <v>40787</v>
      </c>
      <c r="CM9" s="158">
        <v>40817</v>
      </c>
      <c r="CN9" s="158">
        <v>40848</v>
      </c>
      <c r="CO9" s="158">
        <v>40878</v>
      </c>
      <c r="CP9" s="158">
        <v>40909</v>
      </c>
      <c r="CQ9" s="158">
        <v>40940</v>
      </c>
      <c r="CR9" s="158">
        <v>40969</v>
      </c>
      <c r="CS9" s="158">
        <v>41000</v>
      </c>
      <c r="CT9" s="158">
        <v>41030</v>
      </c>
      <c r="CU9" s="158">
        <v>41061</v>
      </c>
      <c r="CV9" s="158">
        <v>41091</v>
      </c>
      <c r="CW9" s="158">
        <v>41122</v>
      </c>
      <c r="CX9" s="158">
        <v>41153</v>
      </c>
      <c r="CY9" s="158">
        <v>41183</v>
      </c>
      <c r="CZ9" s="158">
        <v>41214</v>
      </c>
      <c r="DA9" s="158">
        <v>41244</v>
      </c>
      <c r="DB9" s="158">
        <v>41275</v>
      </c>
      <c r="DC9" s="158">
        <v>41306</v>
      </c>
      <c r="DD9" s="158">
        <v>41334</v>
      </c>
      <c r="DE9" s="158">
        <v>41365</v>
      </c>
      <c r="DF9" s="158">
        <v>41395</v>
      </c>
      <c r="DG9" s="158">
        <v>41426</v>
      </c>
      <c r="DH9" s="158">
        <v>41456</v>
      </c>
      <c r="DI9" s="158">
        <v>41487</v>
      </c>
      <c r="DJ9" s="158">
        <v>41518</v>
      </c>
      <c r="DK9" s="158">
        <v>41548</v>
      </c>
      <c r="DL9" s="158">
        <v>41579</v>
      </c>
      <c r="DM9" s="158">
        <v>41609</v>
      </c>
      <c r="DN9" s="158">
        <v>41640</v>
      </c>
      <c r="DO9" s="158">
        <v>41671</v>
      </c>
      <c r="DP9" s="158">
        <v>41699</v>
      </c>
      <c r="DQ9" s="158">
        <v>41730</v>
      </c>
      <c r="DR9" s="158">
        <v>41760</v>
      </c>
      <c r="DS9" s="158">
        <v>41791</v>
      </c>
      <c r="DT9" s="158">
        <v>41821</v>
      </c>
      <c r="DU9" s="158">
        <v>41852</v>
      </c>
      <c r="DV9" s="158">
        <v>41883</v>
      </c>
      <c r="DW9" s="158">
        <v>41913</v>
      </c>
      <c r="DX9" s="158">
        <v>41944</v>
      </c>
      <c r="DY9" s="158">
        <v>41974</v>
      </c>
      <c r="DZ9" s="158">
        <v>42005</v>
      </c>
      <c r="EA9" s="158">
        <v>42036</v>
      </c>
      <c r="EB9" s="158">
        <v>42064</v>
      </c>
      <c r="EC9" s="158">
        <v>42095</v>
      </c>
      <c r="ED9" s="158">
        <v>42125</v>
      </c>
      <c r="EE9" s="158">
        <v>42156</v>
      </c>
      <c r="EF9" s="158">
        <v>42186</v>
      </c>
      <c r="EG9" s="158">
        <v>42217</v>
      </c>
      <c r="EH9" s="158">
        <v>42248</v>
      </c>
      <c r="EI9" s="158">
        <v>42278</v>
      </c>
      <c r="EJ9" s="158">
        <v>42309</v>
      </c>
      <c r="EK9" s="158">
        <v>42339</v>
      </c>
      <c r="EL9" s="158">
        <v>42370</v>
      </c>
      <c r="EM9" s="158">
        <v>42401</v>
      </c>
      <c r="EN9" s="158">
        <v>42430</v>
      </c>
      <c r="EO9" s="158">
        <v>42461</v>
      </c>
      <c r="EP9" s="158">
        <v>42491</v>
      </c>
      <c r="EQ9" s="158">
        <v>42522</v>
      </c>
      <c r="ER9" s="158">
        <v>42552</v>
      </c>
      <c r="ES9" s="158">
        <v>42583</v>
      </c>
      <c r="ET9" s="158">
        <v>42614</v>
      </c>
      <c r="EU9" s="158">
        <v>42644</v>
      </c>
      <c r="EV9" s="158">
        <v>42675</v>
      </c>
      <c r="EW9" s="158">
        <v>42705</v>
      </c>
      <c r="EX9" s="158">
        <v>42736</v>
      </c>
      <c r="EY9" s="158">
        <v>42767</v>
      </c>
      <c r="EZ9" s="158">
        <v>42795</v>
      </c>
      <c r="FA9" s="158">
        <v>42826</v>
      </c>
      <c r="FB9" s="158">
        <v>42856</v>
      </c>
      <c r="FC9" s="158">
        <v>42887</v>
      </c>
      <c r="FD9" s="158">
        <v>42917</v>
      </c>
      <c r="FE9" s="158">
        <v>42948</v>
      </c>
      <c r="FF9" s="158">
        <v>42979</v>
      </c>
      <c r="FG9" s="158">
        <v>43009</v>
      </c>
      <c r="FH9" s="158">
        <v>43040</v>
      </c>
      <c r="FI9" s="158">
        <v>43070</v>
      </c>
      <c r="FJ9" s="158">
        <v>43101</v>
      </c>
      <c r="FK9" s="158">
        <v>43132</v>
      </c>
      <c r="FL9" s="158">
        <v>43160</v>
      </c>
      <c r="FM9" s="158">
        <v>43191</v>
      </c>
      <c r="FN9" s="158">
        <v>43221</v>
      </c>
      <c r="FO9" s="158">
        <v>43252</v>
      </c>
      <c r="FP9" s="158">
        <v>43282</v>
      </c>
      <c r="FQ9" s="158">
        <v>43313</v>
      </c>
      <c r="FR9" s="158">
        <v>43344</v>
      </c>
      <c r="FS9" s="158">
        <v>43374</v>
      </c>
      <c r="FT9" s="158">
        <v>43405</v>
      </c>
      <c r="FU9" s="158">
        <v>43435</v>
      </c>
      <c r="FV9" s="158">
        <v>43466</v>
      </c>
      <c r="FW9" s="158">
        <v>43497</v>
      </c>
      <c r="FX9" s="158">
        <v>43525</v>
      </c>
      <c r="FY9" s="158">
        <v>43556</v>
      </c>
      <c r="FZ9" s="158">
        <v>43586</v>
      </c>
      <c r="GA9" s="158">
        <v>43617</v>
      </c>
      <c r="GB9" s="158">
        <v>43647</v>
      </c>
      <c r="GC9" s="158">
        <v>43678</v>
      </c>
      <c r="GD9" s="158">
        <v>43709</v>
      </c>
      <c r="GE9" s="159">
        <v>43739</v>
      </c>
      <c r="GF9" s="155"/>
      <c r="GN9" s="155"/>
      <c r="GO9" s="236"/>
      <c r="GP9" s="237"/>
      <c r="GQ9" s="237"/>
      <c r="GR9" s="238"/>
      <c r="GS9" s="156"/>
      <c r="GT9" s="242"/>
      <c r="GU9" s="243"/>
      <c r="GV9" s="155"/>
    </row>
    <row r="10" spans="1:204">
      <c r="N10" s="4" t="s">
        <v>490</v>
      </c>
      <c r="Q10" s="157">
        <v>38595</v>
      </c>
      <c r="R10" s="158">
        <v>38625</v>
      </c>
      <c r="S10" s="158">
        <v>38656</v>
      </c>
      <c r="T10" s="158">
        <v>38686</v>
      </c>
      <c r="U10" s="158">
        <v>38717</v>
      </c>
      <c r="V10" s="158">
        <v>38748</v>
      </c>
      <c r="W10" s="158">
        <v>38776</v>
      </c>
      <c r="X10" s="158">
        <v>38807</v>
      </c>
      <c r="Y10" s="158">
        <v>38837</v>
      </c>
      <c r="Z10" s="158">
        <v>38868</v>
      </c>
      <c r="AA10" s="158">
        <v>38898</v>
      </c>
      <c r="AB10" s="158">
        <v>38929</v>
      </c>
      <c r="AC10" s="158">
        <v>38960</v>
      </c>
      <c r="AD10" s="158">
        <v>38990</v>
      </c>
      <c r="AE10" s="158">
        <v>39021</v>
      </c>
      <c r="AF10" s="158">
        <v>39051</v>
      </c>
      <c r="AG10" s="158">
        <v>39082</v>
      </c>
      <c r="AH10" s="158">
        <v>39113</v>
      </c>
      <c r="AI10" s="158">
        <v>39141</v>
      </c>
      <c r="AJ10" s="158">
        <v>39172</v>
      </c>
      <c r="AK10" s="158">
        <v>39202</v>
      </c>
      <c r="AL10" s="158">
        <v>39233</v>
      </c>
      <c r="AM10" s="158">
        <v>39263</v>
      </c>
      <c r="AN10" s="158">
        <v>39294</v>
      </c>
      <c r="AO10" s="158">
        <v>39325</v>
      </c>
      <c r="AP10" s="158">
        <v>39355</v>
      </c>
      <c r="AQ10" s="158">
        <v>39386</v>
      </c>
      <c r="AR10" s="158">
        <v>39416</v>
      </c>
      <c r="AS10" s="158">
        <v>39447</v>
      </c>
      <c r="AT10" s="158">
        <v>39478</v>
      </c>
      <c r="AU10" s="158">
        <v>39507</v>
      </c>
      <c r="AV10" s="158">
        <v>39538</v>
      </c>
      <c r="AW10" s="158">
        <v>39568</v>
      </c>
      <c r="AX10" s="158">
        <v>39599</v>
      </c>
      <c r="AY10" s="158">
        <v>39629</v>
      </c>
      <c r="AZ10" s="158">
        <v>39660</v>
      </c>
      <c r="BA10" s="158">
        <v>39691</v>
      </c>
      <c r="BB10" s="158">
        <v>39721</v>
      </c>
      <c r="BC10" s="158">
        <v>39752</v>
      </c>
      <c r="BD10" s="158">
        <v>39782</v>
      </c>
      <c r="BE10" s="158">
        <v>39813</v>
      </c>
      <c r="BF10" s="158">
        <v>39844</v>
      </c>
      <c r="BG10" s="158">
        <v>39872</v>
      </c>
      <c r="BH10" s="158">
        <v>39903</v>
      </c>
      <c r="BI10" s="158">
        <v>39933</v>
      </c>
      <c r="BJ10" s="158">
        <v>39964</v>
      </c>
      <c r="BK10" s="158">
        <v>39994</v>
      </c>
      <c r="BL10" s="158">
        <v>40025</v>
      </c>
      <c r="BM10" s="158">
        <v>40056</v>
      </c>
      <c r="BN10" s="158">
        <v>40086</v>
      </c>
      <c r="BO10" s="158">
        <v>40117</v>
      </c>
      <c r="BP10" s="158">
        <v>40147</v>
      </c>
      <c r="BQ10" s="158">
        <v>40178</v>
      </c>
      <c r="BR10" s="158">
        <v>40209</v>
      </c>
      <c r="BS10" s="158">
        <v>40237</v>
      </c>
      <c r="BT10" s="158">
        <v>40268</v>
      </c>
      <c r="BU10" s="158">
        <v>40298</v>
      </c>
      <c r="BV10" s="158">
        <v>40329</v>
      </c>
      <c r="BW10" s="158">
        <v>40359</v>
      </c>
      <c r="BX10" s="158">
        <v>40390</v>
      </c>
      <c r="BY10" s="158">
        <v>40421</v>
      </c>
      <c r="BZ10" s="158">
        <v>40451</v>
      </c>
      <c r="CA10" s="158">
        <v>40482</v>
      </c>
      <c r="CB10" s="158">
        <v>40512</v>
      </c>
      <c r="CC10" s="158">
        <v>40543</v>
      </c>
      <c r="CD10" s="158">
        <v>40574</v>
      </c>
      <c r="CE10" s="158">
        <v>40602</v>
      </c>
      <c r="CF10" s="158">
        <v>40633</v>
      </c>
      <c r="CG10" s="158">
        <v>40663</v>
      </c>
      <c r="CH10" s="158">
        <v>40694</v>
      </c>
      <c r="CI10" s="158">
        <v>40724</v>
      </c>
      <c r="CJ10" s="158">
        <v>40755</v>
      </c>
      <c r="CK10" s="158">
        <v>40786</v>
      </c>
      <c r="CL10" s="158">
        <v>40816</v>
      </c>
      <c r="CM10" s="158">
        <v>40847</v>
      </c>
      <c r="CN10" s="158">
        <v>40877</v>
      </c>
      <c r="CO10" s="158">
        <v>40908</v>
      </c>
      <c r="CP10" s="158">
        <v>40939</v>
      </c>
      <c r="CQ10" s="158">
        <v>40968</v>
      </c>
      <c r="CR10" s="158">
        <v>40999</v>
      </c>
      <c r="CS10" s="158">
        <v>41029</v>
      </c>
      <c r="CT10" s="158">
        <v>41060</v>
      </c>
      <c r="CU10" s="158">
        <v>41090</v>
      </c>
      <c r="CV10" s="158">
        <v>41121</v>
      </c>
      <c r="CW10" s="158">
        <v>41152</v>
      </c>
      <c r="CX10" s="158">
        <v>41182</v>
      </c>
      <c r="CY10" s="158">
        <v>41213</v>
      </c>
      <c r="CZ10" s="158">
        <v>41243</v>
      </c>
      <c r="DA10" s="158">
        <v>41274</v>
      </c>
      <c r="DB10" s="158">
        <v>41305</v>
      </c>
      <c r="DC10" s="158">
        <v>41333</v>
      </c>
      <c r="DD10" s="158">
        <v>41364</v>
      </c>
      <c r="DE10" s="158">
        <v>41394</v>
      </c>
      <c r="DF10" s="158">
        <v>41425</v>
      </c>
      <c r="DG10" s="158">
        <v>41455</v>
      </c>
      <c r="DH10" s="158">
        <v>41486</v>
      </c>
      <c r="DI10" s="158">
        <v>41517</v>
      </c>
      <c r="DJ10" s="158">
        <v>41547</v>
      </c>
      <c r="DK10" s="158">
        <v>41578</v>
      </c>
      <c r="DL10" s="158">
        <v>41608</v>
      </c>
      <c r="DM10" s="158">
        <v>41639</v>
      </c>
      <c r="DN10" s="158">
        <v>41670</v>
      </c>
      <c r="DO10" s="158">
        <v>41698</v>
      </c>
      <c r="DP10" s="158">
        <v>41729</v>
      </c>
      <c r="DQ10" s="158">
        <v>41759</v>
      </c>
      <c r="DR10" s="158">
        <v>41790</v>
      </c>
      <c r="DS10" s="158">
        <v>41820</v>
      </c>
      <c r="DT10" s="158">
        <v>41851</v>
      </c>
      <c r="DU10" s="158">
        <v>41882</v>
      </c>
      <c r="DV10" s="158">
        <v>41912</v>
      </c>
      <c r="DW10" s="158">
        <v>41943</v>
      </c>
      <c r="DX10" s="158">
        <v>41973</v>
      </c>
      <c r="DY10" s="158">
        <v>42004</v>
      </c>
      <c r="DZ10" s="158">
        <v>42035</v>
      </c>
      <c r="EA10" s="158">
        <v>42063</v>
      </c>
      <c r="EB10" s="158">
        <v>42094</v>
      </c>
      <c r="EC10" s="158">
        <v>42124</v>
      </c>
      <c r="ED10" s="158">
        <v>42155</v>
      </c>
      <c r="EE10" s="158">
        <v>42185</v>
      </c>
      <c r="EF10" s="158">
        <v>42216</v>
      </c>
      <c r="EG10" s="158">
        <v>42247</v>
      </c>
      <c r="EH10" s="158">
        <v>42277</v>
      </c>
      <c r="EI10" s="158">
        <v>42308</v>
      </c>
      <c r="EJ10" s="158">
        <v>42338</v>
      </c>
      <c r="EK10" s="158">
        <v>42369</v>
      </c>
      <c r="EL10" s="158">
        <v>42400</v>
      </c>
      <c r="EM10" s="158">
        <v>42429</v>
      </c>
      <c r="EN10" s="158">
        <v>42460</v>
      </c>
      <c r="EO10" s="158">
        <v>42490</v>
      </c>
      <c r="EP10" s="158">
        <v>42521</v>
      </c>
      <c r="EQ10" s="158">
        <v>42551</v>
      </c>
      <c r="ER10" s="158">
        <v>42582</v>
      </c>
      <c r="ES10" s="158">
        <v>42613</v>
      </c>
      <c r="ET10" s="158">
        <v>42643</v>
      </c>
      <c r="EU10" s="158">
        <v>42674</v>
      </c>
      <c r="EV10" s="158">
        <v>42704</v>
      </c>
      <c r="EW10" s="158">
        <v>42735</v>
      </c>
      <c r="EX10" s="158">
        <v>42766</v>
      </c>
      <c r="EY10" s="158">
        <v>42794</v>
      </c>
      <c r="EZ10" s="158">
        <v>42825</v>
      </c>
      <c r="FA10" s="158">
        <v>42855</v>
      </c>
      <c r="FB10" s="158">
        <v>42886</v>
      </c>
      <c r="FC10" s="158">
        <v>42916</v>
      </c>
      <c r="FD10" s="158">
        <v>42947</v>
      </c>
      <c r="FE10" s="158">
        <v>42978</v>
      </c>
      <c r="FF10" s="158">
        <v>43008</v>
      </c>
      <c r="FG10" s="158">
        <v>43039</v>
      </c>
      <c r="FH10" s="158">
        <v>43069</v>
      </c>
      <c r="FI10" s="158">
        <v>43100</v>
      </c>
      <c r="FJ10" s="158">
        <v>43131</v>
      </c>
      <c r="FK10" s="158">
        <v>43159</v>
      </c>
      <c r="FL10" s="158">
        <v>43190</v>
      </c>
      <c r="FM10" s="158">
        <v>43220</v>
      </c>
      <c r="FN10" s="158">
        <v>43251</v>
      </c>
      <c r="FO10" s="158">
        <v>43281</v>
      </c>
      <c r="FP10" s="158">
        <v>43312</v>
      </c>
      <c r="FQ10" s="158">
        <v>43343</v>
      </c>
      <c r="FR10" s="158">
        <v>43373</v>
      </c>
      <c r="FS10" s="158">
        <v>43404</v>
      </c>
      <c r="FT10" s="158">
        <v>43434</v>
      </c>
      <c r="FU10" s="158">
        <v>43465</v>
      </c>
      <c r="FV10" s="158">
        <v>43496</v>
      </c>
      <c r="FW10" s="158">
        <v>43524</v>
      </c>
      <c r="FX10" s="158">
        <v>43555</v>
      </c>
      <c r="FY10" s="158">
        <v>43585</v>
      </c>
      <c r="FZ10" s="158">
        <v>43616</v>
      </c>
      <c r="GA10" s="158">
        <v>43646</v>
      </c>
      <c r="GB10" s="158">
        <v>43677</v>
      </c>
      <c r="GC10" s="158">
        <v>43708</v>
      </c>
      <c r="GD10" s="158">
        <v>43738</v>
      </c>
      <c r="GE10" s="159">
        <v>43769</v>
      </c>
      <c r="GF10" s="155"/>
      <c r="GN10" s="155"/>
      <c r="GO10" s="236"/>
      <c r="GP10" s="237"/>
      <c r="GQ10" s="237"/>
      <c r="GR10" s="238"/>
      <c r="GS10" s="156"/>
      <c r="GT10" s="242"/>
      <c r="GU10" s="243"/>
      <c r="GV10" s="155"/>
    </row>
    <row r="11" spans="1:204" ht="15.75" thickBot="1">
      <c r="N11" s="4" t="s">
        <v>337</v>
      </c>
      <c r="Q11" s="160" t="s">
        <v>363</v>
      </c>
      <c r="R11" s="153" t="s">
        <v>364</v>
      </c>
      <c r="S11" s="153" t="s">
        <v>365</v>
      </c>
      <c r="T11" s="153" t="s">
        <v>366</v>
      </c>
      <c r="U11" s="153" t="s">
        <v>367</v>
      </c>
      <c r="V11" s="153" t="s">
        <v>368</v>
      </c>
      <c r="W11" s="153" t="s">
        <v>368</v>
      </c>
      <c r="X11" s="153" t="s">
        <v>368</v>
      </c>
      <c r="Y11" s="153" t="s">
        <v>368</v>
      </c>
      <c r="Z11" s="153" t="s">
        <v>368</v>
      </c>
      <c r="AA11" s="153" t="s">
        <v>368</v>
      </c>
      <c r="AB11" s="153" t="s">
        <v>368</v>
      </c>
      <c r="AC11" s="153" t="s">
        <v>368</v>
      </c>
      <c r="AD11" s="153" t="s">
        <v>368</v>
      </c>
      <c r="AE11" s="153" t="s">
        <v>368</v>
      </c>
      <c r="AF11" s="153" t="s">
        <v>368</v>
      </c>
      <c r="AG11" s="153" t="s">
        <v>368</v>
      </c>
      <c r="AH11" s="153" t="s">
        <v>369</v>
      </c>
      <c r="AI11" s="153" t="s">
        <v>369</v>
      </c>
      <c r="AJ11" s="153" t="s">
        <v>369</v>
      </c>
      <c r="AK11" s="153" t="s">
        <v>369</v>
      </c>
      <c r="AL11" s="153" t="s">
        <v>369</v>
      </c>
      <c r="AM11" s="153" t="s">
        <v>369</v>
      </c>
      <c r="AN11" s="153" t="s">
        <v>369</v>
      </c>
      <c r="AO11" s="153" t="s">
        <v>369</v>
      </c>
      <c r="AP11" s="153" t="s">
        <v>369</v>
      </c>
      <c r="AQ11" s="153" t="s">
        <v>369</v>
      </c>
      <c r="AR11" s="153" t="s">
        <v>369</v>
      </c>
      <c r="AS11" s="153" t="s">
        <v>369</v>
      </c>
      <c r="AT11" s="153" t="s">
        <v>370</v>
      </c>
      <c r="AU11" s="153" t="s">
        <v>370</v>
      </c>
      <c r="AV11" s="153" t="s">
        <v>370</v>
      </c>
      <c r="AW11" s="153" t="s">
        <v>370</v>
      </c>
      <c r="AX11" s="153" t="s">
        <v>370</v>
      </c>
      <c r="AY11" s="153" t="s">
        <v>370</v>
      </c>
      <c r="AZ11" s="153" t="s">
        <v>370</v>
      </c>
      <c r="BA11" s="153" t="s">
        <v>370</v>
      </c>
      <c r="BB11" s="153" t="s">
        <v>370</v>
      </c>
      <c r="BC11" s="153" t="s">
        <v>370</v>
      </c>
      <c r="BD11" s="153" t="s">
        <v>370</v>
      </c>
      <c r="BE11" s="153" t="s">
        <v>370</v>
      </c>
      <c r="BF11" s="153" t="s">
        <v>371</v>
      </c>
      <c r="BG11" s="153" t="s">
        <v>371</v>
      </c>
      <c r="BH11" s="153" t="s">
        <v>371</v>
      </c>
      <c r="BI11" s="153" t="s">
        <v>371</v>
      </c>
      <c r="BJ11" s="153" t="s">
        <v>371</v>
      </c>
      <c r="BK11" s="153" t="s">
        <v>371</v>
      </c>
      <c r="BL11" s="153" t="s">
        <v>371</v>
      </c>
      <c r="BM11" s="153" t="s">
        <v>371</v>
      </c>
      <c r="BN11" s="153" t="s">
        <v>371</v>
      </c>
      <c r="BO11" s="153" t="s">
        <v>371</v>
      </c>
      <c r="BP11" s="153" t="s">
        <v>371</v>
      </c>
      <c r="BQ11" s="153" t="s">
        <v>371</v>
      </c>
      <c r="BR11" s="153" t="s">
        <v>372</v>
      </c>
      <c r="BS11" s="153" t="s">
        <v>372</v>
      </c>
      <c r="BT11" s="153" t="s">
        <v>372</v>
      </c>
      <c r="BU11" s="153" t="s">
        <v>372</v>
      </c>
      <c r="BV11" s="153" t="s">
        <v>372</v>
      </c>
      <c r="BW11" s="153" t="s">
        <v>372</v>
      </c>
      <c r="BX11" s="153" t="s">
        <v>372</v>
      </c>
      <c r="BY11" s="153" t="s">
        <v>372</v>
      </c>
      <c r="BZ11" s="153" t="s">
        <v>372</v>
      </c>
      <c r="CA11" s="153" t="s">
        <v>372</v>
      </c>
      <c r="CB11" s="153" t="s">
        <v>372</v>
      </c>
      <c r="CC11" s="153" t="s">
        <v>372</v>
      </c>
      <c r="CD11" s="153" t="s">
        <v>373</v>
      </c>
      <c r="CE11" s="153" t="s">
        <v>373</v>
      </c>
      <c r="CF11" s="153" t="s">
        <v>373</v>
      </c>
      <c r="CG11" s="153" t="s">
        <v>373</v>
      </c>
      <c r="CH11" s="153" t="s">
        <v>373</v>
      </c>
      <c r="CI11" s="153" t="s">
        <v>373</v>
      </c>
      <c r="CJ11" s="153" t="s">
        <v>373</v>
      </c>
      <c r="CK11" s="153" t="s">
        <v>373</v>
      </c>
      <c r="CL11" s="153" t="s">
        <v>373</v>
      </c>
      <c r="CM11" s="153" t="s">
        <v>373</v>
      </c>
      <c r="CN11" s="153" t="s">
        <v>373</v>
      </c>
      <c r="CO11" s="153" t="s">
        <v>373</v>
      </c>
      <c r="CP11" s="153" t="s">
        <v>374</v>
      </c>
      <c r="CQ11" s="153" t="s">
        <v>374</v>
      </c>
      <c r="CR11" s="153" t="s">
        <v>374</v>
      </c>
      <c r="CS11" s="153" t="s">
        <v>374</v>
      </c>
      <c r="CT11" s="153" t="s">
        <v>374</v>
      </c>
      <c r="CU11" s="153" t="s">
        <v>374</v>
      </c>
      <c r="CV11" s="153" t="s">
        <v>374</v>
      </c>
      <c r="CW11" s="153" t="s">
        <v>374</v>
      </c>
      <c r="CX11" s="153" t="s">
        <v>374</v>
      </c>
      <c r="CY11" s="153" t="s">
        <v>374</v>
      </c>
      <c r="CZ11" s="153" t="s">
        <v>374</v>
      </c>
      <c r="DA11" s="153" t="s">
        <v>374</v>
      </c>
      <c r="DB11" s="153" t="s">
        <v>375</v>
      </c>
      <c r="DC11" s="153" t="s">
        <v>375</v>
      </c>
      <c r="DD11" s="153" t="s">
        <v>375</v>
      </c>
      <c r="DE11" s="153" t="s">
        <v>375</v>
      </c>
      <c r="DF11" s="153" t="s">
        <v>375</v>
      </c>
      <c r="DG11" s="153" t="s">
        <v>375</v>
      </c>
      <c r="DH11" s="153" t="s">
        <v>375</v>
      </c>
      <c r="DI11" s="153" t="s">
        <v>375</v>
      </c>
      <c r="DJ11" s="153" t="s">
        <v>375</v>
      </c>
      <c r="DK11" s="153" t="s">
        <v>375</v>
      </c>
      <c r="DL11" s="153" t="s">
        <v>375</v>
      </c>
      <c r="DM11" s="153" t="s">
        <v>375</v>
      </c>
      <c r="DN11" s="153" t="s">
        <v>376</v>
      </c>
      <c r="DO11" s="153" t="s">
        <v>376</v>
      </c>
      <c r="DP11" s="153" t="s">
        <v>376</v>
      </c>
      <c r="DQ11" s="153" t="s">
        <v>376</v>
      </c>
      <c r="DR11" s="153" t="s">
        <v>376</v>
      </c>
      <c r="DS11" s="153" t="s">
        <v>376</v>
      </c>
      <c r="DT11" s="153" t="s">
        <v>376</v>
      </c>
      <c r="DU11" s="153" t="s">
        <v>376</v>
      </c>
      <c r="DV11" s="153" t="s">
        <v>376</v>
      </c>
      <c r="DW11" s="153" t="s">
        <v>376</v>
      </c>
      <c r="DX11" s="153" t="s">
        <v>376</v>
      </c>
      <c r="DY11" s="153" t="s">
        <v>376</v>
      </c>
      <c r="DZ11" s="153" t="s">
        <v>377</v>
      </c>
      <c r="EA11" s="153" t="s">
        <v>377</v>
      </c>
      <c r="EB11" s="153" t="s">
        <v>377</v>
      </c>
      <c r="EC11" s="153" t="s">
        <v>377</v>
      </c>
      <c r="ED11" s="153" t="s">
        <v>377</v>
      </c>
      <c r="EE11" s="153" t="s">
        <v>377</v>
      </c>
      <c r="EF11" s="153" t="s">
        <v>377</v>
      </c>
      <c r="EG11" s="153" t="s">
        <v>377</v>
      </c>
      <c r="EH11" s="153" t="s">
        <v>377</v>
      </c>
      <c r="EI11" s="153" t="s">
        <v>377</v>
      </c>
      <c r="EJ11" s="153" t="s">
        <v>377</v>
      </c>
      <c r="EK11" s="153" t="s">
        <v>377</v>
      </c>
      <c r="EL11" s="153" t="s">
        <v>378</v>
      </c>
      <c r="EM11" s="153" t="s">
        <v>378</v>
      </c>
      <c r="EN11" s="153" t="s">
        <v>378</v>
      </c>
      <c r="EO11" s="153" t="s">
        <v>378</v>
      </c>
      <c r="EP11" s="153" t="s">
        <v>378</v>
      </c>
      <c r="EQ11" s="153" t="s">
        <v>378</v>
      </c>
      <c r="ER11" s="153" t="s">
        <v>378</v>
      </c>
      <c r="ES11" s="153" t="s">
        <v>378</v>
      </c>
      <c r="ET11" s="153" t="s">
        <v>378</v>
      </c>
      <c r="EU11" s="153" t="s">
        <v>378</v>
      </c>
      <c r="EV11" s="153" t="s">
        <v>378</v>
      </c>
      <c r="EW11" s="153" t="s">
        <v>378</v>
      </c>
      <c r="EX11" s="153" t="s">
        <v>379</v>
      </c>
      <c r="EY11" s="153" t="s">
        <v>379</v>
      </c>
      <c r="EZ11" s="153" t="s">
        <v>379</v>
      </c>
      <c r="FA11" s="153" t="s">
        <v>379</v>
      </c>
      <c r="FB11" s="153" t="s">
        <v>379</v>
      </c>
      <c r="FC11" s="153" t="s">
        <v>379</v>
      </c>
      <c r="FD11" s="153" t="s">
        <v>379</v>
      </c>
      <c r="FE11" s="153" t="s">
        <v>379</v>
      </c>
      <c r="FF11" s="153" t="s">
        <v>379</v>
      </c>
      <c r="FG11" s="153" t="s">
        <v>379</v>
      </c>
      <c r="FH11" s="153" t="s">
        <v>379</v>
      </c>
      <c r="FI11" s="153" t="s">
        <v>379</v>
      </c>
      <c r="FJ11" s="153" t="s">
        <v>380</v>
      </c>
      <c r="FK11" s="153" t="s">
        <v>380</v>
      </c>
      <c r="FL11" s="153" t="s">
        <v>380</v>
      </c>
      <c r="FM11" s="153" t="s">
        <v>380</v>
      </c>
      <c r="FN11" s="153" t="s">
        <v>380</v>
      </c>
      <c r="FO11" s="153" t="s">
        <v>380</v>
      </c>
      <c r="FP11" s="153" t="s">
        <v>380</v>
      </c>
      <c r="FQ11" s="153" t="s">
        <v>380</v>
      </c>
      <c r="FR11" s="153" t="s">
        <v>380</v>
      </c>
      <c r="FS11" s="153" t="s">
        <v>380</v>
      </c>
      <c r="FT11" s="153" t="s">
        <v>380</v>
      </c>
      <c r="FU11" s="153" t="s">
        <v>380</v>
      </c>
      <c r="FV11" s="153" t="s">
        <v>381</v>
      </c>
      <c r="FW11" s="153" t="s">
        <v>381</v>
      </c>
      <c r="FX11" s="153" t="s">
        <v>381</v>
      </c>
      <c r="FY11" s="153" t="s">
        <v>381</v>
      </c>
      <c r="FZ11" s="153" t="s">
        <v>381</v>
      </c>
      <c r="GA11" s="153" t="s">
        <v>381</v>
      </c>
      <c r="GB11" s="153" t="s">
        <v>381</v>
      </c>
      <c r="GC11" s="153" t="s">
        <v>381</v>
      </c>
      <c r="GD11" s="153" t="s">
        <v>381</v>
      </c>
      <c r="GE11" s="154" t="s">
        <v>381</v>
      </c>
      <c r="GF11" s="155"/>
      <c r="GN11" s="155"/>
      <c r="GO11" s="239"/>
      <c r="GP11" s="240"/>
      <c r="GQ11" s="240"/>
      <c r="GR11" s="241"/>
      <c r="GS11" s="156"/>
      <c r="GT11" s="242"/>
      <c r="GU11" s="243"/>
      <c r="GV11" s="155"/>
    </row>
    <row r="12" spans="1:204">
      <c r="N12" s="4" t="s">
        <v>491</v>
      </c>
      <c r="Q12" s="152">
        <v>1</v>
      </c>
      <c r="R12" s="153">
        <v>1</v>
      </c>
      <c r="S12" s="153">
        <v>1</v>
      </c>
      <c r="T12" s="153">
        <v>1</v>
      </c>
      <c r="U12" s="153">
        <v>1</v>
      </c>
      <c r="V12" s="153">
        <v>1</v>
      </c>
      <c r="W12" s="153">
        <v>1</v>
      </c>
      <c r="X12" s="153">
        <v>1</v>
      </c>
      <c r="Y12" s="153">
        <v>1</v>
      </c>
      <c r="Z12" s="153">
        <v>1</v>
      </c>
      <c r="AA12" s="153">
        <v>1</v>
      </c>
      <c r="AB12" s="153">
        <v>1</v>
      </c>
      <c r="AC12" s="153">
        <v>1</v>
      </c>
      <c r="AD12" s="153">
        <v>1</v>
      </c>
      <c r="AE12" s="153">
        <v>1</v>
      </c>
      <c r="AF12" s="153">
        <v>1</v>
      </c>
      <c r="AG12" s="153">
        <v>1</v>
      </c>
      <c r="AH12" s="153">
        <v>1</v>
      </c>
      <c r="AI12" s="153">
        <v>1</v>
      </c>
      <c r="AJ12" s="153">
        <v>1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1</v>
      </c>
      <c r="AR12" s="153">
        <v>1</v>
      </c>
      <c r="AS12" s="153">
        <v>1</v>
      </c>
      <c r="AT12" s="153">
        <v>1</v>
      </c>
      <c r="AU12" s="153">
        <v>1</v>
      </c>
      <c r="AV12" s="153">
        <v>1</v>
      </c>
      <c r="AW12" s="153">
        <v>1</v>
      </c>
      <c r="AX12" s="153">
        <v>1</v>
      </c>
      <c r="AY12" s="153">
        <v>1</v>
      </c>
      <c r="AZ12" s="153">
        <v>1</v>
      </c>
      <c r="BA12" s="153">
        <v>1</v>
      </c>
      <c r="BB12" s="153">
        <v>1</v>
      </c>
      <c r="BC12" s="153">
        <v>1</v>
      </c>
      <c r="BD12" s="153">
        <v>1</v>
      </c>
      <c r="BE12" s="153">
        <v>1</v>
      </c>
      <c r="BF12" s="153">
        <v>1</v>
      </c>
      <c r="BG12" s="153">
        <v>1</v>
      </c>
      <c r="BH12" s="153">
        <v>1</v>
      </c>
      <c r="BI12" s="153">
        <v>1</v>
      </c>
      <c r="BJ12" s="153">
        <v>1</v>
      </c>
      <c r="BK12" s="153">
        <v>1</v>
      </c>
      <c r="BL12" s="153">
        <v>1</v>
      </c>
      <c r="BM12" s="153">
        <v>1</v>
      </c>
      <c r="BN12" s="153">
        <v>1</v>
      </c>
      <c r="BO12" s="153">
        <v>1</v>
      </c>
      <c r="BP12" s="153">
        <v>1</v>
      </c>
      <c r="BQ12" s="153">
        <v>1</v>
      </c>
      <c r="BR12" s="153">
        <v>1</v>
      </c>
      <c r="BS12" s="153">
        <v>1</v>
      </c>
      <c r="BT12" s="153">
        <v>1</v>
      </c>
      <c r="BU12" s="153">
        <v>1</v>
      </c>
      <c r="BV12" s="153">
        <v>1</v>
      </c>
      <c r="BW12" s="153">
        <v>1</v>
      </c>
      <c r="BX12" s="153">
        <v>1</v>
      </c>
      <c r="BY12" s="153">
        <v>1</v>
      </c>
      <c r="BZ12" s="153">
        <v>1</v>
      </c>
      <c r="CA12" s="153">
        <v>1</v>
      </c>
      <c r="CB12" s="153">
        <v>1</v>
      </c>
      <c r="CC12" s="153">
        <v>1</v>
      </c>
      <c r="CD12" s="153">
        <v>1</v>
      </c>
      <c r="CE12" s="153">
        <v>1</v>
      </c>
      <c r="CF12" s="153">
        <v>1</v>
      </c>
      <c r="CG12" s="153">
        <v>1</v>
      </c>
      <c r="CH12" s="153">
        <v>1</v>
      </c>
      <c r="CI12" s="153">
        <v>1</v>
      </c>
      <c r="CJ12" s="153">
        <v>1</v>
      </c>
      <c r="CK12" s="153">
        <v>1</v>
      </c>
      <c r="CL12" s="153">
        <v>1</v>
      </c>
      <c r="CM12" s="153">
        <v>1</v>
      </c>
      <c r="CN12" s="153">
        <v>1</v>
      </c>
      <c r="CO12" s="153">
        <v>1</v>
      </c>
      <c r="CP12" s="153">
        <v>1</v>
      </c>
      <c r="CQ12" s="153">
        <v>1</v>
      </c>
      <c r="CR12" s="153">
        <v>1</v>
      </c>
      <c r="CS12" s="153">
        <v>1</v>
      </c>
      <c r="CT12" s="153">
        <v>1</v>
      </c>
      <c r="CU12" s="153">
        <v>1</v>
      </c>
      <c r="CV12" s="153">
        <v>1</v>
      </c>
      <c r="CW12" s="153">
        <v>1</v>
      </c>
      <c r="CX12" s="153">
        <v>1</v>
      </c>
      <c r="CY12" s="153">
        <v>1</v>
      </c>
      <c r="CZ12" s="153">
        <v>1</v>
      </c>
      <c r="DA12" s="153">
        <v>1</v>
      </c>
      <c r="DB12" s="153">
        <v>1</v>
      </c>
      <c r="DC12" s="153">
        <v>1</v>
      </c>
      <c r="DD12" s="153">
        <v>1</v>
      </c>
      <c r="DE12" s="153">
        <v>1</v>
      </c>
      <c r="DF12" s="153">
        <v>1</v>
      </c>
      <c r="DG12" s="153">
        <v>1</v>
      </c>
      <c r="DH12" s="153">
        <v>1</v>
      </c>
      <c r="DI12" s="153">
        <v>1</v>
      </c>
      <c r="DJ12" s="153">
        <v>1</v>
      </c>
      <c r="DK12" s="153">
        <v>1</v>
      </c>
      <c r="DL12" s="153">
        <v>1</v>
      </c>
      <c r="DM12" s="153">
        <v>1</v>
      </c>
      <c r="DN12" s="153">
        <v>1</v>
      </c>
      <c r="DO12" s="153">
        <v>1</v>
      </c>
      <c r="DP12" s="153">
        <v>1</v>
      </c>
      <c r="DQ12" s="153">
        <v>1</v>
      </c>
      <c r="DR12" s="153">
        <v>1</v>
      </c>
      <c r="DS12" s="153">
        <v>1</v>
      </c>
      <c r="DT12" s="153">
        <v>1</v>
      </c>
      <c r="DU12" s="153">
        <v>1</v>
      </c>
      <c r="DV12" s="153">
        <v>1</v>
      </c>
      <c r="DW12" s="153">
        <v>1</v>
      </c>
      <c r="DX12" s="153">
        <v>1</v>
      </c>
      <c r="DY12" s="153">
        <v>1</v>
      </c>
      <c r="DZ12" s="153">
        <v>1</v>
      </c>
      <c r="EA12" s="153">
        <v>1</v>
      </c>
      <c r="EB12" s="153">
        <v>1</v>
      </c>
      <c r="EC12" s="153">
        <v>1</v>
      </c>
      <c r="ED12" s="153">
        <v>1</v>
      </c>
      <c r="EE12" s="153">
        <v>1</v>
      </c>
      <c r="EF12" s="153">
        <v>1</v>
      </c>
      <c r="EG12" s="153">
        <v>1</v>
      </c>
      <c r="EH12" s="153">
        <v>1</v>
      </c>
      <c r="EI12" s="153">
        <v>1</v>
      </c>
      <c r="EJ12" s="153">
        <v>1</v>
      </c>
      <c r="EK12" s="153">
        <v>1</v>
      </c>
      <c r="EL12" s="153">
        <v>1</v>
      </c>
      <c r="EM12" s="153">
        <v>1</v>
      </c>
      <c r="EN12" s="153">
        <v>1</v>
      </c>
      <c r="EO12" s="153">
        <v>1</v>
      </c>
      <c r="EP12" s="153">
        <v>1</v>
      </c>
      <c r="EQ12" s="153">
        <v>1</v>
      </c>
      <c r="ER12" s="153">
        <v>1</v>
      </c>
      <c r="ES12" s="153">
        <v>1</v>
      </c>
      <c r="ET12" s="153">
        <v>1</v>
      </c>
      <c r="EU12" s="153">
        <v>1</v>
      </c>
      <c r="EV12" s="153">
        <v>1</v>
      </c>
      <c r="EW12" s="153">
        <v>1</v>
      </c>
      <c r="EX12" s="153">
        <v>1</v>
      </c>
      <c r="EY12" s="153">
        <v>1</v>
      </c>
      <c r="EZ12" s="153">
        <v>1</v>
      </c>
      <c r="FA12" s="153">
        <v>1</v>
      </c>
      <c r="FB12" s="153">
        <v>1</v>
      </c>
      <c r="FC12" s="153">
        <v>1</v>
      </c>
      <c r="FD12" s="153">
        <v>1</v>
      </c>
      <c r="FE12" s="153">
        <v>1</v>
      </c>
      <c r="FF12" s="153">
        <v>1</v>
      </c>
      <c r="FG12" s="153">
        <v>1</v>
      </c>
      <c r="FH12" s="153">
        <v>1</v>
      </c>
      <c r="FI12" s="153">
        <v>1</v>
      </c>
      <c r="FJ12" s="153">
        <v>0</v>
      </c>
      <c r="FK12" s="153">
        <v>0</v>
      </c>
      <c r="FL12" s="153">
        <v>0</v>
      </c>
      <c r="FM12" s="153">
        <v>0</v>
      </c>
      <c r="FN12" s="153">
        <v>0</v>
      </c>
      <c r="FO12" s="153">
        <v>0</v>
      </c>
      <c r="FP12" s="153">
        <v>0</v>
      </c>
      <c r="FQ12" s="153">
        <v>0</v>
      </c>
      <c r="FR12" s="153">
        <v>0</v>
      </c>
      <c r="FS12" s="153">
        <v>0</v>
      </c>
      <c r="FT12" s="153">
        <v>0</v>
      </c>
      <c r="FU12" s="153">
        <v>0</v>
      </c>
      <c r="FV12" s="153">
        <v>0</v>
      </c>
      <c r="FW12" s="153">
        <v>0</v>
      </c>
      <c r="FX12" s="153">
        <v>0</v>
      </c>
      <c r="FY12" s="153">
        <v>0</v>
      </c>
      <c r="FZ12" s="153">
        <v>0</v>
      </c>
      <c r="GA12" s="153">
        <v>0</v>
      </c>
      <c r="GB12" s="153">
        <v>0</v>
      </c>
      <c r="GC12" s="153">
        <v>0</v>
      </c>
      <c r="GD12" s="153">
        <v>0</v>
      </c>
      <c r="GE12" s="154">
        <v>0</v>
      </c>
      <c r="GF12" s="155"/>
      <c r="GN12" s="155"/>
      <c r="GO12" s="3">
        <v>0</v>
      </c>
      <c r="GP12" s="3">
        <v>0</v>
      </c>
      <c r="GQ12" s="3">
        <v>0</v>
      </c>
      <c r="GR12" s="3">
        <v>0</v>
      </c>
      <c r="GS12" s="161"/>
      <c r="GT12" s="3">
        <v>0</v>
      </c>
      <c r="GU12" s="3">
        <v>0</v>
      </c>
      <c r="GV12" s="155"/>
    </row>
    <row r="13" spans="1:204">
      <c r="A13" s="7"/>
      <c r="B13" s="7" t="s">
        <v>492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155"/>
      <c r="GG13" s="7"/>
      <c r="GH13" s="7"/>
      <c r="GI13" s="7"/>
      <c r="GJ13" s="7"/>
      <c r="GK13" s="7"/>
      <c r="GL13" s="7"/>
      <c r="GM13" s="7"/>
      <c r="GN13" s="155"/>
      <c r="GO13" s="7"/>
      <c r="GP13" s="7"/>
      <c r="GQ13" s="7"/>
      <c r="GR13" s="7"/>
      <c r="GS13" s="161"/>
      <c r="GT13" s="7"/>
      <c r="GU13" s="7"/>
      <c r="GV13" s="155"/>
    </row>
    <row r="14" spans="1:204" ht="15.75" thickBot="1"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6">
        <v>0</v>
      </c>
      <c r="CK14" s="6">
        <v>0</v>
      </c>
      <c r="CL14" s="6">
        <v>0</v>
      </c>
      <c r="CM14" s="6">
        <v>0</v>
      </c>
      <c r="CN14" s="6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6">
        <v>0</v>
      </c>
      <c r="CW14" s="6">
        <v>0</v>
      </c>
      <c r="CX14" s="6">
        <v>0</v>
      </c>
      <c r="CY14" s="6">
        <v>0</v>
      </c>
      <c r="CZ14" s="6">
        <v>0</v>
      </c>
      <c r="DA14" s="6">
        <v>0</v>
      </c>
      <c r="DB14" s="6">
        <v>0</v>
      </c>
      <c r="DC14" s="6">
        <v>0</v>
      </c>
      <c r="DD14" s="6">
        <v>0</v>
      </c>
      <c r="DE14" s="6">
        <v>0</v>
      </c>
      <c r="DF14" s="6">
        <v>0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6">
        <v>0</v>
      </c>
      <c r="DQ14" s="6">
        <v>0</v>
      </c>
      <c r="DR14" s="6">
        <v>0</v>
      </c>
      <c r="DS14" s="6">
        <v>0</v>
      </c>
      <c r="DT14" s="6">
        <v>0</v>
      </c>
      <c r="DU14" s="6">
        <v>0</v>
      </c>
      <c r="DV14" s="6">
        <v>0</v>
      </c>
      <c r="DW14" s="6">
        <v>0</v>
      </c>
      <c r="DX14" s="6">
        <v>0</v>
      </c>
      <c r="DY14" s="6">
        <v>0</v>
      </c>
      <c r="DZ14" s="6">
        <v>0</v>
      </c>
      <c r="EA14" s="6">
        <v>0</v>
      </c>
      <c r="EB14" s="6">
        <v>0</v>
      </c>
      <c r="EC14" s="6">
        <v>0</v>
      </c>
      <c r="ED14" s="6">
        <v>0</v>
      </c>
      <c r="EE14" s="6">
        <v>0</v>
      </c>
      <c r="EF14" s="6">
        <v>0</v>
      </c>
      <c r="EG14" s="6">
        <v>0</v>
      </c>
      <c r="EH14" s="6">
        <v>0</v>
      </c>
      <c r="EI14" s="6">
        <v>0</v>
      </c>
      <c r="EJ14" s="6">
        <v>0</v>
      </c>
      <c r="EK14" s="6">
        <v>0</v>
      </c>
      <c r="EL14" s="6">
        <v>0</v>
      </c>
      <c r="EM14" s="6">
        <v>0</v>
      </c>
      <c r="EN14" s="6">
        <v>0</v>
      </c>
      <c r="EO14" s="6">
        <v>0</v>
      </c>
      <c r="EP14" s="6">
        <v>0</v>
      </c>
      <c r="EQ14" s="6">
        <v>0</v>
      </c>
      <c r="ER14" s="6">
        <v>0</v>
      </c>
      <c r="ES14" s="6">
        <v>0</v>
      </c>
      <c r="ET14" s="6">
        <v>0</v>
      </c>
      <c r="EU14" s="6">
        <v>0</v>
      </c>
      <c r="EV14" s="6">
        <v>0</v>
      </c>
      <c r="EW14" s="6">
        <v>0</v>
      </c>
      <c r="EX14" s="6">
        <v>0</v>
      </c>
      <c r="EY14" s="6">
        <v>0</v>
      </c>
      <c r="EZ14" s="6">
        <v>0</v>
      </c>
      <c r="FA14" s="6">
        <v>0</v>
      </c>
      <c r="FB14" s="6">
        <v>0</v>
      </c>
      <c r="FC14" s="6">
        <v>0</v>
      </c>
      <c r="FD14" s="6">
        <v>0</v>
      </c>
      <c r="FE14" s="6">
        <v>0</v>
      </c>
      <c r="FF14" s="6">
        <v>0</v>
      </c>
      <c r="FG14" s="6">
        <v>0</v>
      </c>
      <c r="FH14" s="6">
        <v>0</v>
      </c>
      <c r="FI14" s="6">
        <v>0</v>
      </c>
      <c r="FJ14" s="6">
        <v>0</v>
      </c>
      <c r="FK14" s="6">
        <v>0</v>
      </c>
      <c r="FL14" s="6">
        <v>0</v>
      </c>
      <c r="FM14" s="6">
        <v>0</v>
      </c>
      <c r="FN14" s="6">
        <v>0</v>
      </c>
      <c r="FO14" s="6">
        <v>0</v>
      </c>
      <c r="FP14" s="6">
        <v>0</v>
      </c>
      <c r="FQ14" s="6">
        <v>0</v>
      </c>
      <c r="FR14" s="6">
        <v>0</v>
      </c>
      <c r="FS14" s="6">
        <v>0</v>
      </c>
      <c r="FT14" s="6">
        <v>0</v>
      </c>
      <c r="FU14" s="6">
        <v>0</v>
      </c>
      <c r="FV14" s="6">
        <v>0</v>
      </c>
      <c r="FW14" s="6">
        <v>0</v>
      </c>
      <c r="FX14" s="6">
        <v>0</v>
      </c>
      <c r="FY14" s="6">
        <v>0</v>
      </c>
      <c r="FZ14" s="6">
        <v>0</v>
      </c>
      <c r="GA14" s="6">
        <v>0</v>
      </c>
      <c r="GB14" s="6">
        <v>0</v>
      </c>
      <c r="GC14" s="6">
        <v>0</v>
      </c>
      <c r="GD14" s="6">
        <v>0</v>
      </c>
      <c r="GE14" s="162">
        <v>0</v>
      </c>
      <c r="GF14" s="155"/>
      <c r="GN14" s="155"/>
      <c r="GS14" s="161"/>
      <c r="GV14" s="155"/>
    </row>
    <row r="15" spans="1:204" ht="51" customHeight="1" thickBot="1">
      <c r="B15" s="163" t="s">
        <v>493</v>
      </c>
      <c r="C15" s="163" t="s">
        <v>494</v>
      </c>
      <c r="D15" s="164" t="s">
        <v>28</v>
      </c>
      <c r="E15" s="164" t="s">
        <v>52</v>
      </c>
      <c r="F15" s="164" t="s">
        <v>495</v>
      </c>
      <c r="G15" s="164" t="s">
        <v>496</v>
      </c>
      <c r="H15" s="164" t="s">
        <v>96</v>
      </c>
      <c r="I15" s="163" t="s">
        <v>497</v>
      </c>
      <c r="J15" s="164" t="s">
        <v>115</v>
      </c>
      <c r="K15" s="164" t="s">
        <v>176</v>
      </c>
      <c r="L15" s="164" t="s">
        <v>498</v>
      </c>
      <c r="M15" s="163" t="s">
        <v>499</v>
      </c>
      <c r="N15" s="163" t="s">
        <v>499</v>
      </c>
      <c r="O15" s="163" t="s">
        <v>499</v>
      </c>
      <c r="P15" s="165" t="s">
        <v>290</v>
      </c>
      <c r="Q15" s="166" t="s">
        <v>107</v>
      </c>
      <c r="R15" s="166" t="s">
        <v>107</v>
      </c>
      <c r="S15" s="166" t="s">
        <v>107</v>
      </c>
      <c r="T15" s="166" t="s">
        <v>107</v>
      </c>
      <c r="U15" s="166" t="s">
        <v>107</v>
      </c>
      <c r="V15" s="166" t="s">
        <v>107</v>
      </c>
      <c r="W15" s="166" t="s">
        <v>107</v>
      </c>
      <c r="X15" s="166" t="s">
        <v>107</v>
      </c>
      <c r="Y15" s="166" t="s">
        <v>107</v>
      </c>
      <c r="Z15" s="166" t="s">
        <v>107</v>
      </c>
      <c r="AA15" s="166" t="s">
        <v>107</v>
      </c>
      <c r="AB15" s="166" t="s">
        <v>107</v>
      </c>
      <c r="AC15" s="166" t="s">
        <v>107</v>
      </c>
      <c r="AD15" s="166" t="s">
        <v>107</v>
      </c>
      <c r="AE15" s="166" t="s">
        <v>107</v>
      </c>
      <c r="AF15" s="166" t="s">
        <v>107</v>
      </c>
      <c r="AG15" s="166" t="s">
        <v>107</v>
      </c>
      <c r="AH15" s="166" t="s">
        <v>107</v>
      </c>
      <c r="AI15" s="166" t="s">
        <v>107</v>
      </c>
      <c r="AJ15" s="166" t="s">
        <v>107</v>
      </c>
      <c r="AK15" s="166" t="s">
        <v>107</v>
      </c>
      <c r="AL15" s="166" t="s">
        <v>107</v>
      </c>
      <c r="AM15" s="166" t="s">
        <v>107</v>
      </c>
      <c r="AN15" s="166" t="s">
        <v>107</v>
      </c>
      <c r="AO15" s="166" t="s">
        <v>107</v>
      </c>
      <c r="AP15" s="166" t="s">
        <v>107</v>
      </c>
      <c r="AQ15" s="166" t="s">
        <v>107</v>
      </c>
      <c r="AR15" s="166" t="s">
        <v>107</v>
      </c>
      <c r="AS15" s="166" t="s">
        <v>107</v>
      </c>
      <c r="AT15" s="166" t="s">
        <v>107</v>
      </c>
      <c r="AU15" s="166" t="s">
        <v>107</v>
      </c>
      <c r="AV15" s="166" t="s">
        <v>107</v>
      </c>
      <c r="AW15" s="166" t="s">
        <v>107</v>
      </c>
      <c r="AX15" s="166" t="s">
        <v>107</v>
      </c>
      <c r="AY15" s="166" t="s">
        <v>107</v>
      </c>
      <c r="AZ15" s="166" t="s">
        <v>107</v>
      </c>
      <c r="BA15" s="166" t="s">
        <v>107</v>
      </c>
      <c r="BB15" s="166" t="s">
        <v>107</v>
      </c>
      <c r="BC15" s="166" t="s">
        <v>107</v>
      </c>
      <c r="BD15" s="166" t="s">
        <v>107</v>
      </c>
      <c r="BE15" s="166" t="s">
        <v>107</v>
      </c>
      <c r="BF15" s="166" t="s">
        <v>107</v>
      </c>
      <c r="BG15" s="166" t="s">
        <v>107</v>
      </c>
      <c r="BH15" s="166" t="s">
        <v>107</v>
      </c>
      <c r="BI15" s="166" t="s">
        <v>107</v>
      </c>
      <c r="BJ15" s="166" t="s">
        <v>107</v>
      </c>
      <c r="BK15" s="166" t="s">
        <v>107</v>
      </c>
      <c r="BL15" s="166" t="s">
        <v>107</v>
      </c>
      <c r="BM15" s="166" t="s">
        <v>107</v>
      </c>
      <c r="BN15" s="166" t="s">
        <v>107</v>
      </c>
      <c r="BO15" s="166" t="s">
        <v>107</v>
      </c>
      <c r="BP15" s="166" t="s">
        <v>107</v>
      </c>
      <c r="BQ15" s="166" t="s">
        <v>107</v>
      </c>
      <c r="BR15" s="166" t="s">
        <v>107</v>
      </c>
      <c r="BS15" s="166" t="s">
        <v>107</v>
      </c>
      <c r="BT15" s="166" t="s">
        <v>107</v>
      </c>
      <c r="BU15" s="166" t="s">
        <v>107</v>
      </c>
      <c r="BV15" s="166" t="s">
        <v>107</v>
      </c>
      <c r="BW15" s="166" t="s">
        <v>107</v>
      </c>
      <c r="BX15" s="166" t="s">
        <v>107</v>
      </c>
      <c r="BY15" s="166" t="s">
        <v>107</v>
      </c>
      <c r="BZ15" s="166" t="s">
        <v>107</v>
      </c>
      <c r="CA15" s="166" t="s">
        <v>107</v>
      </c>
      <c r="CB15" s="166" t="s">
        <v>107</v>
      </c>
      <c r="CC15" s="166" t="s">
        <v>107</v>
      </c>
      <c r="CD15" s="166" t="s">
        <v>107</v>
      </c>
      <c r="CE15" s="166" t="s">
        <v>107</v>
      </c>
      <c r="CF15" s="166" t="s">
        <v>107</v>
      </c>
      <c r="CG15" s="166" t="s">
        <v>107</v>
      </c>
      <c r="CH15" s="166" t="s">
        <v>107</v>
      </c>
      <c r="CI15" s="166" t="s">
        <v>107</v>
      </c>
      <c r="CJ15" s="166" t="s">
        <v>107</v>
      </c>
      <c r="CK15" s="166" t="s">
        <v>107</v>
      </c>
      <c r="CL15" s="166" t="s">
        <v>107</v>
      </c>
      <c r="CM15" s="166" t="s">
        <v>107</v>
      </c>
      <c r="CN15" s="166" t="s">
        <v>107</v>
      </c>
      <c r="CO15" s="166" t="s">
        <v>107</v>
      </c>
      <c r="CP15" s="166" t="s">
        <v>107</v>
      </c>
      <c r="CQ15" s="166" t="s">
        <v>107</v>
      </c>
      <c r="CR15" s="166" t="s">
        <v>107</v>
      </c>
      <c r="CS15" s="166" t="s">
        <v>107</v>
      </c>
      <c r="CT15" s="166" t="s">
        <v>107</v>
      </c>
      <c r="CU15" s="166" t="s">
        <v>107</v>
      </c>
      <c r="CV15" s="166" t="s">
        <v>107</v>
      </c>
      <c r="CW15" s="166" t="s">
        <v>107</v>
      </c>
      <c r="CX15" s="166" t="s">
        <v>107</v>
      </c>
      <c r="CY15" s="166" t="s">
        <v>107</v>
      </c>
      <c r="CZ15" s="166" t="s">
        <v>107</v>
      </c>
      <c r="DA15" s="166" t="s">
        <v>107</v>
      </c>
      <c r="DB15" s="166" t="s">
        <v>107</v>
      </c>
      <c r="DC15" s="166" t="s">
        <v>107</v>
      </c>
      <c r="DD15" s="166" t="s">
        <v>107</v>
      </c>
      <c r="DE15" s="166" t="s">
        <v>107</v>
      </c>
      <c r="DF15" s="166" t="s">
        <v>107</v>
      </c>
      <c r="DG15" s="166" t="s">
        <v>107</v>
      </c>
      <c r="DH15" s="166" t="s">
        <v>107</v>
      </c>
      <c r="DI15" s="166" t="s">
        <v>107</v>
      </c>
      <c r="DJ15" s="166" t="s">
        <v>107</v>
      </c>
      <c r="DK15" s="166" t="s">
        <v>107</v>
      </c>
      <c r="DL15" s="166" t="s">
        <v>107</v>
      </c>
      <c r="DM15" s="166" t="s">
        <v>107</v>
      </c>
      <c r="DN15" s="166" t="s">
        <v>107</v>
      </c>
      <c r="DO15" s="166" t="s">
        <v>107</v>
      </c>
      <c r="DP15" s="166" t="s">
        <v>107</v>
      </c>
      <c r="DQ15" s="166" t="s">
        <v>107</v>
      </c>
      <c r="DR15" s="166" t="s">
        <v>107</v>
      </c>
      <c r="DS15" s="166" t="s">
        <v>107</v>
      </c>
      <c r="DT15" s="166" t="s">
        <v>107</v>
      </c>
      <c r="DU15" s="166" t="s">
        <v>107</v>
      </c>
      <c r="DV15" s="166" t="s">
        <v>107</v>
      </c>
      <c r="DW15" s="166" t="s">
        <v>107</v>
      </c>
      <c r="DX15" s="166" t="s">
        <v>107</v>
      </c>
      <c r="DY15" s="166" t="s">
        <v>107</v>
      </c>
      <c r="DZ15" s="166" t="s">
        <v>107</v>
      </c>
      <c r="EA15" s="166" t="s">
        <v>107</v>
      </c>
      <c r="EB15" s="166" t="s">
        <v>107</v>
      </c>
      <c r="EC15" s="166" t="s">
        <v>107</v>
      </c>
      <c r="ED15" s="166" t="s">
        <v>107</v>
      </c>
      <c r="EE15" s="166" t="s">
        <v>107</v>
      </c>
      <c r="EF15" s="166" t="s">
        <v>107</v>
      </c>
      <c r="EG15" s="166" t="s">
        <v>107</v>
      </c>
      <c r="EH15" s="166" t="s">
        <v>107</v>
      </c>
      <c r="EI15" s="166" t="s">
        <v>107</v>
      </c>
      <c r="EJ15" s="166" t="s">
        <v>107</v>
      </c>
      <c r="EK15" s="166" t="s">
        <v>107</v>
      </c>
      <c r="EL15" s="166" t="s">
        <v>107</v>
      </c>
      <c r="EM15" s="166" t="s">
        <v>107</v>
      </c>
      <c r="EN15" s="166" t="s">
        <v>107</v>
      </c>
      <c r="EO15" s="166" t="s">
        <v>107</v>
      </c>
      <c r="EP15" s="166" t="s">
        <v>107</v>
      </c>
      <c r="EQ15" s="166" t="s">
        <v>107</v>
      </c>
      <c r="ER15" s="166" t="s">
        <v>107</v>
      </c>
      <c r="ES15" s="166" t="s">
        <v>107</v>
      </c>
      <c r="ET15" s="166" t="s">
        <v>107</v>
      </c>
      <c r="EU15" s="166" t="s">
        <v>107</v>
      </c>
      <c r="EV15" s="166" t="s">
        <v>107</v>
      </c>
      <c r="EW15" s="166" t="s">
        <v>107</v>
      </c>
      <c r="EX15" s="166" t="s">
        <v>107</v>
      </c>
      <c r="EY15" s="166" t="s">
        <v>107</v>
      </c>
      <c r="EZ15" s="166" t="s">
        <v>107</v>
      </c>
      <c r="FA15" s="166" t="s">
        <v>107</v>
      </c>
      <c r="FB15" s="166" t="s">
        <v>107</v>
      </c>
      <c r="FC15" s="166" t="s">
        <v>107</v>
      </c>
      <c r="FD15" s="166" t="s">
        <v>107</v>
      </c>
      <c r="FE15" s="166" t="s">
        <v>107</v>
      </c>
      <c r="FF15" s="166" t="s">
        <v>107</v>
      </c>
      <c r="FG15" s="166" t="s">
        <v>107</v>
      </c>
      <c r="FH15" s="166" t="s">
        <v>107</v>
      </c>
      <c r="FI15" s="166" t="s">
        <v>107</v>
      </c>
      <c r="FJ15" s="166" t="s">
        <v>107</v>
      </c>
      <c r="FK15" s="166" t="s">
        <v>107</v>
      </c>
      <c r="FL15" s="166" t="s">
        <v>107</v>
      </c>
      <c r="FM15" s="166" t="s">
        <v>107</v>
      </c>
      <c r="FN15" s="166" t="s">
        <v>107</v>
      </c>
      <c r="FO15" s="166" t="s">
        <v>107</v>
      </c>
      <c r="FP15" s="166" t="s">
        <v>107</v>
      </c>
      <c r="FQ15" s="166" t="s">
        <v>107</v>
      </c>
      <c r="FR15" s="166" t="s">
        <v>107</v>
      </c>
      <c r="FS15" s="166" t="s">
        <v>107</v>
      </c>
      <c r="FT15" s="166" t="s">
        <v>107</v>
      </c>
      <c r="FU15" s="166" t="s">
        <v>107</v>
      </c>
      <c r="FV15" s="166" t="s">
        <v>107</v>
      </c>
      <c r="FW15" s="166" t="s">
        <v>107</v>
      </c>
      <c r="FX15" s="166" t="s">
        <v>107</v>
      </c>
      <c r="FY15" s="166" t="s">
        <v>107</v>
      </c>
      <c r="FZ15" s="166" t="s">
        <v>107</v>
      </c>
      <c r="GA15" s="166" t="s">
        <v>107</v>
      </c>
      <c r="GB15" s="166" t="s">
        <v>107</v>
      </c>
      <c r="GC15" s="166" t="s">
        <v>107</v>
      </c>
      <c r="GD15" s="166" t="s">
        <v>107</v>
      </c>
      <c r="GE15" s="166" t="s">
        <v>107</v>
      </c>
      <c r="GF15" s="155"/>
      <c r="GG15" s="167" t="s">
        <v>149</v>
      </c>
      <c r="GH15" s="167" t="s">
        <v>500</v>
      </c>
      <c r="GI15" s="168" t="s">
        <v>501</v>
      </c>
      <c r="GJ15" s="167" t="s">
        <v>502</v>
      </c>
      <c r="GK15" s="167" t="s">
        <v>503</v>
      </c>
      <c r="GL15" s="167" t="s">
        <v>136</v>
      </c>
      <c r="GM15" s="169" t="s">
        <v>504</v>
      </c>
      <c r="GN15" s="155"/>
      <c r="GO15" s="170" t="s">
        <v>505</v>
      </c>
      <c r="GP15" s="169" t="s">
        <v>506</v>
      </c>
      <c r="GQ15" s="169" t="s">
        <v>507</v>
      </c>
      <c r="GR15" s="169" t="s">
        <v>508</v>
      </c>
      <c r="GS15" s="171"/>
      <c r="GV15" s="155"/>
    </row>
    <row r="16" spans="1:204">
      <c r="A16" s="6"/>
      <c r="B16" s="10"/>
      <c r="C16" s="10"/>
      <c r="D16" s="172"/>
      <c r="E16" s="172"/>
      <c r="F16" s="172"/>
      <c r="G16" s="172"/>
      <c r="H16" s="172"/>
      <c r="I16" s="10"/>
      <c r="J16" s="172"/>
      <c r="K16" s="172"/>
      <c r="L16" s="172"/>
      <c r="M16" s="10"/>
      <c r="N16" s="10"/>
      <c r="O16" s="10"/>
      <c r="P16" s="6">
        <v>0</v>
      </c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173"/>
      <c r="AB16" s="173"/>
      <c r="AC16" s="173"/>
      <c r="AD16" s="173"/>
      <c r="AE16" s="173"/>
      <c r="AF16" s="173"/>
      <c r="AG16" s="173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AR16" s="173"/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73"/>
      <c r="BV16" s="173"/>
      <c r="BW16" s="173"/>
      <c r="BX16" s="173"/>
      <c r="BY16" s="173"/>
      <c r="BZ16" s="173"/>
      <c r="CA16" s="173"/>
      <c r="CB16" s="173"/>
      <c r="CC16" s="173"/>
      <c r="CD16" s="173"/>
      <c r="CE16" s="173"/>
      <c r="CF16" s="173"/>
      <c r="CG16" s="173"/>
      <c r="CH16" s="173"/>
      <c r="CI16" s="173"/>
      <c r="CJ16" s="173"/>
      <c r="CK16" s="173"/>
      <c r="CL16" s="173"/>
      <c r="CM16" s="173"/>
      <c r="CN16" s="173"/>
      <c r="CO16" s="173"/>
      <c r="CP16" s="173"/>
      <c r="CQ16" s="173"/>
      <c r="CR16" s="173"/>
      <c r="CS16" s="173"/>
      <c r="CT16" s="173"/>
      <c r="CU16" s="173"/>
      <c r="CV16" s="173"/>
      <c r="CW16" s="173"/>
      <c r="CX16" s="173"/>
      <c r="CY16" s="173"/>
      <c r="CZ16" s="173"/>
      <c r="DA16" s="173"/>
      <c r="DB16" s="173"/>
      <c r="DC16" s="173"/>
      <c r="DD16" s="173"/>
      <c r="DE16" s="173"/>
      <c r="DF16" s="173"/>
      <c r="DG16" s="173"/>
      <c r="DH16" s="173"/>
      <c r="DI16" s="173"/>
      <c r="DJ16" s="173"/>
      <c r="DK16" s="173"/>
      <c r="DL16" s="173"/>
      <c r="DM16" s="173"/>
      <c r="DN16" s="173"/>
      <c r="DO16" s="173"/>
      <c r="DP16" s="173"/>
      <c r="DQ16" s="173"/>
      <c r="DR16" s="173"/>
      <c r="DS16" s="173"/>
      <c r="DT16" s="173"/>
      <c r="DU16" s="173"/>
      <c r="DV16" s="173"/>
      <c r="DW16" s="173"/>
      <c r="DX16" s="173"/>
      <c r="DY16" s="173"/>
      <c r="DZ16" s="173"/>
      <c r="EA16" s="173"/>
      <c r="EB16" s="173"/>
      <c r="EC16" s="173"/>
      <c r="ED16" s="173"/>
      <c r="EE16" s="173"/>
      <c r="EF16" s="173"/>
      <c r="EG16" s="173"/>
      <c r="EH16" s="173"/>
      <c r="EI16" s="173"/>
      <c r="EJ16" s="173"/>
      <c r="EK16" s="173"/>
      <c r="EL16" s="173"/>
      <c r="EM16" s="173"/>
      <c r="EN16" s="173"/>
      <c r="EO16" s="173"/>
      <c r="EP16" s="173"/>
      <c r="EQ16" s="173"/>
      <c r="ER16" s="173"/>
      <c r="ES16" s="173"/>
      <c r="ET16" s="173"/>
      <c r="EU16" s="173"/>
      <c r="EV16" s="173"/>
      <c r="EW16" s="173"/>
      <c r="EX16" s="173"/>
      <c r="EY16" s="173"/>
      <c r="EZ16" s="173"/>
      <c r="FA16" s="173"/>
      <c r="FB16" s="173"/>
      <c r="FC16" s="173"/>
      <c r="FD16" s="173"/>
      <c r="FE16" s="173"/>
      <c r="FF16" s="173"/>
      <c r="FG16" s="173"/>
      <c r="FH16" s="173"/>
      <c r="FI16" s="173"/>
      <c r="FJ16" s="173"/>
      <c r="FK16" s="173"/>
      <c r="FL16" s="173"/>
      <c r="FM16" s="173"/>
      <c r="FN16" s="173"/>
      <c r="FO16" s="173"/>
      <c r="FP16" s="173"/>
      <c r="FQ16" s="173"/>
      <c r="FR16" s="173"/>
      <c r="FS16" s="173"/>
      <c r="FT16" s="173"/>
      <c r="FU16" s="173"/>
      <c r="FV16" s="173"/>
      <c r="FW16" s="173"/>
      <c r="FX16" s="173"/>
      <c r="FY16" s="173"/>
      <c r="FZ16" s="173"/>
      <c r="GA16" s="173"/>
      <c r="GB16" s="173"/>
      <c r="GC16" s="173"/>
      <c r="GD16" s="173"/>
      <c r="GE16" s="174"/>
      <c r="GF16" s="155"/>
      <c r="GG16" s="172"/>
      <c r="GH16" s="172"/>
      <c r="GI16" s="172"/>
      <c r="GJ16" s="172"/>
      <c r="GK16" s="172"/>
      <c r="GL16" s="172"/>
      <c r="GM16" s="175">
        <v>0</v>
      </c>
      <c r="GN16" s="155"/>
      <c r="GO16" s="3">
        <v>0</v>
      </c>
      <c r="GP16" s="176" t="s">
        <v>36</v>
      </c>
      <c r="GQ16" s="176" t="s">
        <v>36</v>
      </c>
      <c r="GR16" s="176" t="s">
        <v>36</v>
      </c>
      <c r="GS16" s="161"/>
      <c r="GT16" s="3">
        <v>0</v>
      </c>
      <c r="GU16" s="3">
        <v>0</v>
      </c>
      <c r="GV16" s="155"/>
    </row>
    <row r="17" spans="1:204">
      <c r="A17" s="6"/>
      <c r="B17" s="10"/>
      <c r="C17" s="10"/>
      <c r="D17" s="172"/>
      <c r="E17" s="172"/>
      <c r="F17" s="172"/>
      <c r="G17" s="172"/>
      <c r="H17" s="172"/>
      <c r="I17" s="10"/>
      <c r="J17" s="172"/>
      <c r="K17" s="172"/>
      <c r="L17" s="172"/>
      <c r="M17" s="10"/>
      <c r="N17" s="10"/>
      <c r="O17" s="10"/>
      <c r="P17" s="6">
        <v>0</v>
      </c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3"/>
      <c r="DS17" s="173"/>
      <c r="DT17" s="173"/>
      <c r="DU17" s="173"/>
      <c r="DV17" s="173"/>
      <c r="DW17" s="173"/>
      <c r="DX17" s="173"/>
      <c r="DY17" s="173"/>
      <c r="DZ17" s="173"/>
      <c r="EA17" s="173"/>
      <c r="EB17" s="173"/>
      <c r="EC17" s="173"/>
      <c r="ED17" s="173"/>
      <c r="EE17" s="173"/>
      <c r="EF17" s="173"/>
      <c r="EG17" s="173"/>
      <c r="EH17" s="173"/>
      <c r="EI17" s="173"/>
      <c r="EJ17" s="173"/>
      <c r="EK17" s="173"/>
      <c r="EL17" s="173"/>
      <c r="EM17" s="173"/>
      <c r="EN17" s="173"/>
      <c r="EO17" s="173"/>
      <c r="EP17" s="173"/>
      <c r="EQ17" s="173"/>
      <c r="ER17" s="173"/>
      <c r="ES17" s="173"/>
      <c r="ET17" s="173"/>
      <c r="EU17" s="173"/>
      <c r="EV17" s="173"/>
      <c r="EW17" s="173"/>
      <c r="EX17" s="173"/>
      <c r="EY17" s="173"/>
      <c r="EZ17" s="173"/>
      <c r="FA17" s="173"/>
      <c r="FB17" s="173"/>
      <c r="FC17" s="173"/>
      <c r="FD17" s="173"/>
      <c r="FE17" s="173"/>
      <c r="FF17" s="173"/>
      <c r="FG17" s="173"/>
      <c r="FH17" s="173"/>
      <c r="FI17" s="173"/>
      <c r="FJ17" s="173"/>
      <c r="FK17" s="173"/>
      <c r="FL17" s="173"/>
      <c r="FM17" s="173"/>
      <c r="FN17" s="173"/>
      <c r="FO17" s="173"/>
      <c r="FP17" s="173"/>
      <c r="FQ17" s="173"/>
      <c r="FR17" s="173"/>
      <c r="FS17" s="173"/>
      <c r="FT17" s="173"/>
      <c r="FU17" s="173"/>
      <c r="FV17" s="173"/>
      <c r="FW17" s="173"/>
      <c r="FX17" s="173"/>
      <c r="FY17" s="173"/>
      <c r="FZ17" s="173"/>
      <c r="GA17" s="173"/>
      <c r="GB17" s="173"/>
      <c r="GC17" s="173"/>
      <c r="GD17" s="173"/>
      <c r="GE17" s="174"/>
      <c r="GF17" s="155"/>
      <c r="GG17" s="172"/>
      <c r="GH17" s="172"/>
      <c r="GI17" s="172"/>
      <c r="GJ17" s="172"/>
      <c r="GK17" s="172"/>
      <c r="GL17" s="172"/>
      <c r="GM17" s="175">
        <v>0</v>
      </c>
      <c r="GN17" s="155"/>
      <c r="GO17" s="3">
        <v>0</v>
      </c>
      <c r="GP17" s="176" t="s">
        <v>36</v>
      </c>
      <c r="GQ17" s="176" t="s">
        <v>36</v>
      </c>
      <c r="GR17" s="176" t="s">
        <v>36</v>
      </c>
      <c r="GS17" s="161"/>
      <c r="GT17" s="3">
        <v>0</v>
      </c>
      <c r="GU17" s="3">
        <v>0</v>
      </c>
      <c r="GV17" s="155"/>
    </row>
    <row r="18" spans="1:204">
      <c r="A18" s="6"/>
      <c r="B18" s="10"/>
      <c r="C18" s="10"/>
      <c r="D18" s="172"/>
      <c r="E18" s="172"/>
      <c r="F18" s="172"/>
      <c r="G18" s="172"/>
      <c r="H18" s="172"/>
      <c r="I18" s="10"/>
      <c r="J18" s="172"/>
      <c r="K18" s="172"/>
      <c r="L18" s="172"/>
      <c r="M18" s="10"/>
      <c r="N18" s="10"/>
      <c r="O18" s="10"/>
      <c r="P18" s="6">
        <v>0</v>
      </c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3"/>
      <c r="AG18" s="173"/>
      <c r="AH18" s="173"/>
      <c r="AI18" s="173"/>
      <c r="AJ18" s="173"/>
      <c r="AK18" s="173"/>
      <c r="AL18" s="173"/>
      <c r="AM18" s="173"/>
      <c r="AN18" s="173"/>
      <c r="AO18" s="173"/>
      <c r="AP18" s="173"/>
      <c r="AQ18" s="173"/>
      <c r="AR18" s="173"/>
      <c r="AS18" s="173"/>
      <c r="AT18" s="173"/>
      <c r="AU18" s="173"/>
      <c r="AV18" s="173"/>
      <c r="AW18" s="173"/>
      <c r="AX18" s="173"/>
      <c r="AY18" s="173"/>
      <c r="AZ18" s="173"/>
      <c r="BA18" s="173"/>
      <c r="BB18" s="173"/>
      <c r="BC18" s="173"/>
      <c r="BD18" s="173"/>
      <c r="BE18" s="173"/>
      <c r="BF18" s="173"/>
      <c r="BG18" s="173"/>
      <c r="BH18" s="173"/>
      <c r="BI18" s="173"/>
      <c r="BJ18" s="173"/>
      <c r="BK18" s="173"/>
      <c r="BL18" s="173"/>
      <c r="BM18" s="173"/>
      <c r="BN18" s="173"/>
      <c r="BO18" s="173"/>
      <c r="BP18" s="173"/>
      <c r="BQ18" s="173"/>
      <c r="BR18" s="173"/>
      <c r="BS18" s="173"/>
      <c r="BT18" s="173"/>
      <c r="BU18" s="173"/>
      <c r="BV18" s="173"/>
      <c r="BW18" s="173"/>
      <c r="BX18" s="173"/>
      <c r="BY18" s="173"/>
      <c r="BZ18" s="173"/>
      <c r="CA18" s="173"/>
      <c r="CB18" s="173"/>
      <c r="CC18" s="173"/>
      <c r="CD18" s="173"/>
      <c r="CE18" s="173"/>
      <c r="CF18" s="173"/>
      <c r="CG18" s="173"/>
      <c r="CH18" s="173"/>
      <c r="CI18" s="173"/>
      <c r="CJ18" s="173"/>
      <c r="CK18" s="173"/>
      <c r="CL18" s="173"/>
      <c r="CM18" s="173"/>
      <c r="CN18" s="173"/>
      <c r="CO18" s="173"/>
      <c r="CP18" s="173"/>
      <c r="CQ18" s="173"/>
      <c r="CR18" s="173"/>
      <c r="CS18" s="173"/>
      <c r="CT18" s="173"/>
      <c r="CU18" s="173"/>
      <c r="CV18" s="173"/>
      <c r="CW18" s="173"/>
      <c r="CX18" s="173"/>
      <c r="CY18" s="173"/>
      <c r="CZ18" s="173"/>
      <c r="DA18" s="173"/>
      <c r="DB18" s="173"/>
      <c r="DC18" s="173"/>
      <c r="DD18" s="173"/>
      <c r="DE18" s="173"/>
      <c r="DF18" s="173"/>
      <c r="DG18" s="173"/>
      <c r="DH18" s="173"/>
      <c r="DI18" s="173"/>
      <c r="DJ18" s="173"/>
      <c r="DK18" s="173"/>
      <c r="DL18" s="173"/>
      <c r="DM18" s="173"/>
      <c r="DN18" s="173"/>
      <c r="DO18" s="173"/>
      <c r="DP18" s="173"/>
      <c r="DQ18" s="173"/>
      <c r="DR18" s="173"/>
      <c r="DS18" s="173"/>
      <c r="DT18" s="173"/>
      <c r="DU18" s="173"/>
      <c r="DV18" s="173"/>
      <c r="DW18" s="173"/>
      <c r="DX18" s="173"/>
      <c r="DY18" s="173"/>
      <c r="DZ18" s="173"/>
      <c r="EA18" s="173"/>
      <c r="EB18" s="173"/>
      <c r="EC18" s="173"/>
      <c r="ED18" s="173"/>
      <c r="EE18" s="173"/>
      <c r="EF18" s="173"/>
      <c r="EG18" s="173"/>
      <c r="EH18" s="173"/>
      <c r="EI18" s="173"/>
      <c r="EJ18" s="173"/>
      <c r="EK18" s="173"/>
      <c r="EL18" s="173"/>
      <c r="EM18" s="173"/>
      <c r="EN18" s="173"/>
      <c r="EO18" s="173"/>
      <c r="EP18" s="173"/>
      <c r="EQ18" s="173"/>
      <c r="ER18" s="173"/>
      <c r="ES18" s="173"/>
      <c r="ET18" s="173"/>
      <c r="EU18" s="173"/>
      <c r="EV18" s="173"/>
      <c r="EW18" s="173"/>
      <c r="EX18" s="173"/>
      <c r="EY18" s="173"/>
      <c r="EZ18" s="173"/>
      <c r="FA18" s="173"/>
      <c r="FB18" s="173"/>
      <c r="FC18" s="173"/>
      <c r="FD18" s="173"/>
      <c r="FE18" s="173"/>
      <c r="FF18" s="173"/>
      <c r="FG18" s="173"/>
      <c r="FH18" s="173"/>
      <c r="FI18" s="173"/>
      <c r="FJ18" s="173"/>
      <c r="FK18" s="173"/>
      <c r="FL18" s="173"/>
      <c r="FM18" s="173"/>
      <c r="FN18" s="173"/>
      <c r="FO18" s="173"/>
      <c r="FP18" s="173"/>
      <c r="FQ18" s="173"/>
      <c r="FR18" s="173"/>
      <c r="FS18" s="173"/>
      <c r="FT18" s="173"/>
      <c r="FU18" s="173"/>
      <c r="FV18" s="173"/>
      <c r="FW18" s="173"/>
      <c r="FX18" s="173"/>
      <c r="FY18" s="173"/>
      <c r="FZ18" s="173"/>
      <c r="GA18" s="173"/>
      <c r="GB18" s="173"/>
      <c r="GC18" s="173"/>
      <c r="GD18" s="173"/>
      <c r="GE18" s="174"/>
      <c r="GF18" s="155"/>
      <c r="GG18" s="172"/>
      <c r="GH18" s="172"/>
      <c r="GI18" s="172"/>
      <c r="GJ18" s="172"/>
      <c r="GK18" s="172"/>
      <c r="GL18" s="172"/>
      <c r="GM18" s="175">
        <v>0</v>
      </c>
      <c r="GN18" s="155"/>
      <c r="GO18" s="3">
        <v>0</v>
      </c>
      <c r="GP18" s="176" t="s">
        <v>36</v>
      </c>
      <c r="GQ18" s="176" t="s">
        <v>36</v>
      </c>
      <c r="GR18" s="176" t="s">
        <v>36</v>
      </c>
      <c r="GS18" s="161"/>
      <c r="GT18" s="3">
        <v>0</v>
      </c>
      <c r="GU18" s="3">
        <v>0</v>
      </c>
      <c r="GV18" s="155"/>
    </row>
    <row r="19" spans="1:204">
      <c r="A19" s="6"/>
      <c r="B19" s="10"/>
      <c r="C19" s="10"/>
      <c r="D19" s="172"/>
      <c r="E19" s="172"/>
      <c r="F19" s="172"/>
      <c r="G19" s="172"/>
      <c r="H19" s="172"/>
      <c r="I19" s="10"/>
      <c r="J19" s="172"/>
      <c r="K19" s="172"/>
      <c r="L19" s="172"/>
      <c r="M19" s="10"/>
      <c r="N19" s="10"/>
      <c r="O19" s="10"/>
      <c r="P19" s="6">
        <v>0</v>
      </c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73"/>
      <c r="AE19" s="173"/>
      <c r="AF19" s="173"/>
      <c r="AG19" s="173"/>
      <c r="AH19" s="173"/>
      <c r="AI19" s="173"/>
      <c r="AJ19" s="173"/>
      <c r="AK19" s="173"/>
      <c r="AL19" s="173"/>
      <c r="AM19" s="173"/>
      <c r="AN19" s="173"/>
      <c r="AO19" s="173"/>
      <c r="AP19" s="173"/>
      <c r="AQ19" s="173"/>
      <c r="AR19" s="173"/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73"/>
      <c r="BV19" s="173"/>
      <c r="BW19" s="173"/>
      <c r="BX19" s="173"/>
      <c r="BY19" s="173"/>
      <c r="BZ19" s="173"/>
      <c r="CA19" s="173"/>
      <c r="CB19" s="173"/>
      <c r="CC19" s="173"/>
      <c r="CD19" s="173"/>
      <c r="CE19" s="173"/>
      <c r="CF19" s="173"/>
      <c r="CG19" s="173"/>
      <c r="CH19" s="173"/>
      <c r="CI19" s="173"/>
      <c r="CJ19" s="173"/>
      <c r="CK19" s="173"/>
      <c r="CL19" s="173"/>
      <c r="CM19" s="173"/>
      <c r="CN19" s="173"/>
      <c r="CO19" s="173"/>
      <c r="CP19" s="173"/>
      <c r="CQ19" s="173"/>
      <c r="CR19" s="173"/>
      <c r="CS19" s="173"/>
      <c r="CT19" s="173"/>
      <c r="CU19" s="173"/>
      <c r="CV19" s="173"/>
      <c r="CW19" s="173"/>
      <c r="CX19" s="173"/>
      <c r="CY19" s="173"/>
      <c r="CZ19" s="173"/>
      <c r="DA19" s="173"/>
      <c r="DB19" s="173"/>
      <c r="DC19" s="173"/>
      <c r="DD19" s="173"/>
      <c r="DE19" s="173"/>
      <c r="DF19" s="173"/>
      <c r="DG19" s="173"/>
      <c r="DH19" s="173"/>
      <c r="DI19" s="173"/>
      <c r="DJ19" s="173"/>
      <c r="DK19" s="173"/>
      <c r="DL19" s="173"/>
      <c r="DM19" s="173"/>
      <c r="DN19" s="173"/>
      <c r="DO19" s="173"/>
      <c r="DP19" s="173"/>
      <c r="DQ19" s="173"/>
      <c r="DR19" s="173"/>
      <c r="DS19" s="173"/>
      <c r="DT19" s="173"/>
      <c r="DU19" s="173"/>
      <c r="DV19" s="173"/>
      <c r="DW19" s="173"/>
      <c r="DX19" s="173"/>
      <c r="DY19" s="173"/>
      <c r="DZ19" s="173"/>
      <c r="EA19" s="173"/>
      <c r="EB19" s="173"/>
      <c r="EC19" s="173"/>
      <c r="ED19" s="173"/>
      <c r="EE19" s="173"/>
      <c r="EF19" s="173"/>
      <c r="EG19" s="173"/>
      <c r="EH19" s="173"/>
      <c r="EI19" s="173"/>
      <c r="EJ19" s="173"/>
      <c r="EK19" s="173"/>
      <c r="EL19" s="173"/>
      <c r="EM19" s="173"/>
      <c r="EN19" s="173"/>
      <c r="EO19" s="173"/>
      <c r="EP19" s="173"/>
      <c r="EQ19" s="173"/>
      <c r="ER19" s="173"/>
      <c r="ES19" s="173"/>
      <c r="ET19" s="173"/>
      <c r="EU19" s="173"/>
      <c r="EV19" s="173"/>
      <c r="EW19" s="173"/>
      <c r="EX19" s="173"/>
      <c r="EY19" s="173"/>
      <c r="EZ19" s="173"/>
      <c r="FA19" s="173"/>
      <c r="FB19" s="173"/>
      <c r="FC19" s="173"/>
      <c r="FD19" s="173"/>
      <c r="FE19" s="173"/>
      <c r="FF19" s="173"/>
      <c r="FG19" s="173"/>
      <c r="FH19" s="173"/>
      <c r="FI19" s="173"/>
      <c r="FJ19" s="173"/>
      <c r="FK19" s="173"/>
      <c r="FL19" s="173"/>
      <c r="FM19" s="173"/>
      <c r="FN19" s="173"/>
      <c r="FO19" s="173"/>
      <c r="FP19" s="173"/>
      <c r="FQ19" s="173"/>
      <c r="FR19" s="173"/>
      <c r="FS19" s="173"/>
      <c r="FT19" s="173"/>
      <c r="FU19" s="173"/>
      <c r="FV19" s="173"/>
      <c r="FW19" s="173"/>
      <c r="FX19" s="173"/>
      <c r="FY19" s="173"/>
      <c r="FZ19" s="173"/>
      <c r="GA19" s="173"/>
      <c r="GB19" s="173"/>
      <c r="GC19" s="173"/>
      <c r="GD19" s="173"/>
      <c r="GE19" s="174"/>
      <c r="GF19" s="155"/>
      <c r="GG19" s="172"/>
      <c r="GH19" s="172"/>
      <c r="GI19" s="172"/>
      <c r="GJ19" s="172"/>
      <c r="GK19" s="172"/>
      <c r="GL19" s="172"/>
      <c r="GM19" s="175">
        <v>0</v>
      </c>
      <c r="GN19" s="155"/>
      <c r="GO19" s="3">
        <v>0</v>
      </c>
      <c r="GP19" s="176" t="s">
        <v>36</v>
      </c>
      <c r="GQ19" s="176" t="s">
        <v>36</v>
      </c>
      <c r="GR19" s="176" t="s">
        <v>36</v>
      </c>
      <c r="GS19" s="161"/>
      <c r="GT19" s="3">
        <v>0</v>
      </c>
      <c r="GU19" s="3">
        <v>0</v>
      </c>
      <c r="GV19" s="155"/>
    </row>
    <row r="20" spans="1:204">
      <c r="A20" s="6"/>
      <c r="B20" s="10"/>
      <c r="C20" s="10"/>
      <c r="D20" s="172"/>
      <c r="E20" s="172"/>
      <c r="F20" s="172"/>
      <c r="G20" s="172"/>
      <c r="H20" s="172"/>
      <c r="I20" s="10"/>
      <c r="J20" s="172"/>
      <c r="K20" s="172"/>
      <c r="L20" s="172"/>
      <c r="M20" s="10"/>
      <c r="N20" s="10"/>
      <c r="O20" s="10"/>
      <c r="P20" s="6">
        <v>0</v>
      </c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3"/>
      <c r="CG20" s="173"/>
      <c r="CH20" s="173"/>
      <c r="CI20" s="173"/>
      <c r="CJ20" s="173"/>
      <c r="CK20" s="173"/>
      <c r="CL20" s="173"/>
      <c r="CM20" s="173"/>
      <c r="CN20" s="173"/>
      <c r="CO20" s="173"/>
      <c r="CP20" s="173"/>
      <c r="CQ20" s="173"/>
      <c r="CR20" s="173"/>
      <c r="CS20" s="173"/>
      <c r="CT20" s="173"/>
      <c r="CU20" s="173"/>
      <c r="CV20" s="173"/>
      <c r="CW20" s="173"/>
      <c r="CX20" s="173"/>
      <c r="CY20" s="173"/>
      <c r="CZ20" s="173"/>
      <c r="DA20" s="173"/>
      <c r="DB20" s="173"/>
      <c r="DC20" s="173"/>
      <c r="DD20" s="173"/>
      <c r="DE20" s="173"/>
      <c r="DF20" s="173"/>
      <c r="DG20" s="173"/>
      <c r="DH20" s="173"/>
      <c r="DI20" s="173"/>
      <c r="DJ20" s="173"/>
      <c r="DK20" s="173"/>
      <c r="DL20" s="173"/>
      <c r="DM20" s="173"/>
      <c r="DN20" s="173"/>
      <c r="DO20" s="173"/>
      <c r="DP20" s="173"/>
      <c r="DQ20" s="173"/>
      <c r="DR20" s="173"/>
      <c r="DS20" s="173"/>
      <c r="DT20" s="173"/>
      <c r="DU20" s="173"/>
      <c r="DV20" s="173"/>
      <c r="DW20" s="173"/>
      <c r="DX20" s="173"/>
      <c r="DY20" s="173"/>
      <c r="DZ20" s="173"/>
      <c r="EA20" s="173"/>
      <c r="EB20" s="173"/>
      <c r="EC20" s="173"/>
      <c r="ED20" s="173"/>
      <c r="EE20" s="173"/>
      <c r="EF20" s="173"/>
      <c r="EG20" s="173"/>
      <c r="EH20" s="173"/>
      <c r="EI20" s="173"/>
      <c r="EJ20" s="173"/>
      <c r="EK20" s="173"/>
      <c r="EL20" s="173"/>
      <c r="EM20" s="173"/>
      <c r="EN20" s="173"/>
      <c r="EO20" s="173"/>
      <c r="EP20" s="173"/>
      <c r="EQ20" s="173"/>
      <c r="ER20" s="173"/>
      <c r="ES20" s="173"/>
      <c r="ET20" s="173"/>
      <c r="EU20" s="173"/>
      <c r="EV20" s="173"/>
      <c r="EW20" s="173"/>
      <c r="EX20" s="173"/>
      <c r="EY20" s="173"/>
      <c r="EZ20" s="173"/>
      <c r="FA20" s="173"/>
      <c r="FB20" s="173"/>
      <c r="FC20" s="173"/>
      <c r="FD20" s="173"/>
      <c r="FE20" s="173"/>
      <c r="FF20" s="173"/>
      <c r="FG20" s="173"/>
      <c r="FH20" s="173"/>
      <c r="FI20" s="173"/>
      <c r="FJ20" s="173"/>
      <c r="FK20" s="173"/>
      <c r="FL20" s="173"/>
      <c r="FM20" s="173"/>
      <c r="FN20" s="173"/>
      <c r="FO20" s="173"/>
      <c r="FP20" s="173"/>
      <c r="FQ20" s="173"/>
      <c r="FR20" s="173"/>
      <c r="FS20" s="173"/>
      <c r="FT20" s="173"/>
      <c r="FU20" s="173"/>
      <c r="FV20" s="173"/>
      <c r="FW20" s="173"/>
      <c r="FX20" s="173"/>
      <c r="FY20" s="173"/>
      <c r="FZ20" s="173"/>
      <c r="GA20" s="173"/>
      <c r="GB20" s="173"/>
      <c r="GC20" s="173"/>
      <c r="GD20" s="173"/>
      <c r="GE20" s="174"/>
      <c r="GF20" s="155"/>
      <c r="GG20" s="172"/>
      <c r="GH20" s="172"/>
      <c r="GI20" s="172"/>
      <c r="GJ20" s="172"/>
      <c r="GK20" s="172"/>
      <c r="GL20" s="172"/>
      <c r="GM20" s="175">
        <v>0</v>
      </c>
      <c r="GN20" s="155"/>
      <c r="GO20" s="3">
        <v>0</v>
      </c>
      <c r="GP20" s="176" t="s">
        <v>36</v>
      </c>
      <c r="GQ20" s="176" t="s">
        <v>36</v>
      </c>
      <c r="GR20" s="176" t="s">
        <v>36</v>
      </c>
      <c r="GS20" s="161"/>
      <c r="GT20" s="3">
        <v>0</v>
      </c>
      <c r="GU20" s="3">
        <v>0</v>
      </c>
      <c r="GV20" s="155"/>
    </row>
    <row r="21" spans="1:204">
      <c r="A21" s="6"/>
      <c r="B21" s="10"/>
      <c r="C21" s="10"/>
      <c r="D21" s="172"/>
      <c r="E21" s="172"/>
      <c r="F21" s="172"/>
      <c r="G21" s="172"/>
      <c r="H21" s="172"/>
      <c r="I21" s="10"/>
      <c r="J21" s="172"/>
      <c r="K21" s="172"/>
      <c r="L21" s="172"/>
      <c r="M21" s="10"/>
      <c r="N21" s="10"/>
      <c r="O21" s="10"/>
      <c r="P21" s="6">
        <v>0</v>
      </c>
      <c r="Q21" s="173"/>
      <c r="R21" s="173"/>
      <c r="S21" s="173"/>
      <c r="T21" s="173"/>
      <c r="U21" s="173"/>
      <c r="V21" s="173"/>
      <c r="W21" s="173"/>
      <c r="X21" s="173"/>
      <c r="Y21" s="173"/>
      <c r="Z21" s="173"/>
      <c r="AA21" s="173"/>
      <c r="AB21" s="173"/>
      <c r="AC21" s="173"/>
      <c r="AD21" s="173"/>
      <c r="AE21" s="173"/>
      <c r="AF21" s="173"/>
      <c r="AG21" s="173"/>
      <c r="AH21" s="173"/>
      <c r="AI21" s="173"/>
      <c r="AJ21" s="173"/>
      <c r="AK21" s="173"/>
      <c r="AL21" s="173"/>
      <c r="AM21" s="173"/>
      <c r="AN21" s="173"/>
      <c r="AO21" s="173"/>
      <c r="AP21" s="173"/>
      <c r="AQ21" s="173"/>
      <c r="AR21" s="173"/>
      <c r="AS21" s="173"/>
      <c r="AT21" s="173"/>
      <c r="AU21" s="173"/>
      <c r="AV21" s="173"/>
      <c r="AW21" s="173"/>
      <c r="AX21" s="173"/>
      <c r="AY21" s="173"/>
      <c r="AZ21" s="173"/>
      <c r="BA21" s="173"/>
      <c r="BB21" s="173"/>
      <c r="BC21" s="173"/>
      <c r="BD21" s="173"/>
      <c r="BE21" s="173"/>
      <c r="BF21" s="173"/>
      <c r="BG21" s="173"/>
      <c r="BH21" s="173"/>
      <c r="BI21" s="173"/>
      <c r="BJ21" s="173"/>
      <c r="BK21" s="173"/>
      <c r="BL21" s="173"/>
      <c r="BM21" s="173"/>
      <c r="BN21" s="173"/>
      <c r="BO21" s="173"/>
      <c r="BP21" s="173"/>
      <c r="BQ21" s="173"/>
      <c r="BR21" s="173"/>
      <c r="BS21" s="173"/>
      <c r="BT21" s="173"/>
      <c r="BU21" s="173"/>
      <c r="BV21" s="173"/>
      <c r="BW21" s="173"/>
      <c r="BX21" s="173"/>
      <c r="BY21" s="173"/>
      <c r="BZ21" s="173"/>
      <c r="CA21" s="173"/>
      <c r="CB21" s="173"/>
      <c r="CC21" s="173"/>
      <c r="CD21" s="173"/>
      <c r="CE21" s="173"/>
      <c r="CF21" s="173"/>
      <c r="CG21" s="173"/>
      <c r="CH21" s="173"/>
      <c r="CI21" s="173"/>
      <c r="CJ21" s="173"/>
      <c r="CK21" s="173"/>
      <c r="CL21" s="173"/>
      <c r="CM21" s="173"/>
      <c r="CN21" s="173"/>
      <c r="CO21" s="173"/>
      <c r="CP21" s="173"/>
      <c r="CQ21" s="173"/>
      <c r="CR21" s="173"/>
      <c r="CS21" s="173"/>
      <c r="CT21" s="173"/>
      <c r="CU21" s="173"/>
      <c r="CV21" s="173"/>
      <c r="CW21" s="173"/>
      <c r="CX21" s="173"/>
      <c r="CY21" s="173"/>
      <c r="CZ21" s="173"/>
      <c r="DA21" s="173"/>
      <c r="DB21" s="173"/>
      <c r="DC21" s="173"/>
      <c r="DD21" s="173"/>
      <c r="DE21" s="173"/>
      <c r="DF21" s="173"/>
      <c r="DG21" s="173"/>
      <c r="DH21" s="173"/>
      <c r="DI21" s="173"/>
      <c r="DJ21" s="173"/>
      <c r="DK21" s="173"/>
      <c r="DL21" s="173"/>
      <c r="DM21" s="173"/>
      <c r="DN21" s="173"/>
      <c r="DO21" s="173"/>
      <c r="DP21" s="173"/>
      <c r="DQ21" s="173"/>
      <c r="DR21" s="173"/>
      <c r="DS21" s="173"/>
      <c r="DT21" s="173"/>
      <c r="DU21" s="173"/>
      <c r="DV21" s="173"/>
      <c r="DW21" s="173"/>
      <c r="DX21" s="173"/>
      <c r="DY21" s="173"/>
      <c r="DZ21" s="173"/>
      <c r="EA21" s="173"/>
      <c r="EB21" s="173"/>
      <c r="EC21" s="173"/>
      <c r="ED21" s="173"/>
      <c r="EE21" s="173"/>
      <c r="EF21" s="173"/>
      <c r="EG21" s="173"/>
      <c r="EH21" s="173"/>
      <c r="EI21" s="173"/>
      <c r="EJ21" s="173"/>
      <c r="EK21" s="173"/>
      <c r="EL21" s="173"/>
      <c r="EM21" s="173"/>
      <c r="EN21" s="173"/>
      <c r="EO21" s="173"/>
      <c r="EP21" s="173"/>
      <c r="EQ21" s="173"/>
      <c r="ER21" s="173"/>
      <c r="ES21" s="173"/>
      <c r="ET21" s="173"/>
      <c r="EU21" s="173"/>
      <c r="EV21" s="173"/>
      <c r="EW21" s="173"/>
      <c r="EX21" s="173"/>
      <c r="EY21" s="173"/>
      <c r="EZ21" s="173"/>
      <c r="FA21" s="173"/>
      <c r="FB21" s="173"/>
      <c r="FC21" s="173"/>
      <c r="FD21" s="173"/>
      <c r="FE21" s="173"/>
      <c r="FF21" s="173"/>
      <c r="FG21" s="173"/>
      <c r="FH21" s="173"/>
      <c r="FI21" s="173"/>
      <c r="FJ21" s="173"/>
      <c r="FK21" s="173"/>
      <c r="FL21" s="173"/>
      <c r="FM21" s="173"/>
      <c r="FN21" s="173"/>
      <c r="FO21" s="173"/>
      <c r="FP21" s="173"/>
      <c r="FQ21" s="173"/>
      <c r="FR21" s="173"/>
      <c r="FS21" s="173"/>
      <c r="FT21" s="173"/>
      <c r="FU21" s="173"/>
      <c r="FV21" s="173"/>
      <c r="FW21" s="173"/>
      <c r="FX21" s="173"/>
      <c r="FY21" s="173"/>
      <c r="FZ21" s="173"/>
      <c r="GA21" s="173"/>
      <c r="GB21" s="173"/>
      <c r="GC21" s="173"/>
      <c r="GD21" s="173"/>
      <c r="GE21" s="174"/>
      <c r="GF21" s="155"/>
      <c r="GG21" s="172"/>
      <c r="GH21" s="172"/>
      <c r="GI21" s="172"/>
      <c r="GJ21" s="172"/>
      <c r="GK21" s="172"/>
      <c r="GL21" s="172"/>
      <c r="GM21" s="175">
        <v>0</v>
      </c>
      <c r="GN21" s="155"/>
      <c r="GO21" s="3">
        <v>0</v>
      </c>
      <c r="GP21" s="176" t="s">
        <v>36</v>
      </c>
      <c r="GQ21" s="176" t="s">
        <v>36</v>
      </c>
      <c r="GR21" s="176" t="s">
        <v>36</v>
      </c>
      <c r="GS21" s="161"/>
      <c r="GT21" s="3">
        <v>0</v>
      </c>
      <c r="GU21" s="3">
        <v>0</v>
      </c>
      <c r="GV21" s="155"/>
    </row>
    <row r="22" spans="1:204">
      <c r="A22" s="6"/>
      <c r="B22" s="10"/>
      <c r="C22" s="10"/>
      <c r="D22" s="172"/>
      <c r="E22" s="172"/>
      <c r="F22" s="172"/>
      <c r="G22" s="172"/>
      <c r="H22" s="172"/>
      <c r="I22" s="10"/>
      <c r="J22" s="172"/>
      <c r="K22" s="172"/>
      <c r="L22" s="172"/>
      <c r="M22" s="10"/>
      <c r="N22" s="10"/>
      <c r="O22" s="10"/>
      <c r="P22" s="6">
        <v>0</v>
      </c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3"/>
      <c r="AG22" s="173"/>
      <c r="AH22" s="173"/>
      <c r="AI22" s="173"/>
      <c r="AJ22" s="173"/>
      <c r="AK22" s="173"/>
      <c r="AL22" s="173"/>
      <c r="AM22" s="173"/>
      <c r="AN22" s="173"/>
      <c r="AO22" s="173"/>
      <c r="AP22" s="173"/>
      <c r="AQ22" s="173"/>
      <c r="AR22" s="173"/>
      <c r="AS22" s="173"/>
      <c r="AT22" s="173"/>
      <c r="AU22" s="173"/>
      <c r="AV22" s="173"/>
      <c r="AW22" s="173"/>
      <c r="AX22" s="173"/>
      <c r="AY22" s="173"/>
      <c r="AZ22" s="173"/>
      <c r="BA22" s="173"/>
      <c r="BB22" s="173"/>
      <c r="BC22" s="173"/>
      <c r="BD22" s="173"/>
      <c r="BE22" s="173"/>
      <c r="BF22" s="173"/>
      <c r="BG22" s="173"/>
      <c r="BH22" s="173"/>
      <c r="BI22" s="173"/>
      <c r="BJ22" s="173"/>
      <c r="BK22" s="173"/>
      <c r="BL22" s="173"/>
      <c r="BM22" s="173"/>
      <c r="BN22" s="173"/>
      <c r="BO22" s="173"/>
      <c r="BP22" s="173"/>
      <c r="BQ22" s="173"/>
      <c r="BR22" s="173"/>
      <c r="BS22" s="173"/>
      <c r="BT22" s="173"/>
      <c r="BU22" s="173"/>
      <c r="BV22" s="173"/>
      <c r="BW22" s="173"/>
      <c r="BX22" s="173"/>
      <c r="BY22" s="173"/>
      <c r="BZ22" s="173"/>
      <c r="CA22" s="173"/>
      <c r="CB22" s="173"/>
      <c r="CC22" s="173"/>
      <c r="CD22" s="173"/>
      <c r="CE22" s="173"/>
      <c r="CF22" s="173"/>
      <c r="CG22" s="173"/>
      <c r="CH22" s="173"/>
      <c r="CI22" s="173"/>
      <c r="CJ22" s="173"/>
      <c r="CK22" s="173"/>
      <c r="CL22" s="173"/>
      <c r="CM22" s="173"/>
      <c r="CN22" s="173"/>
      <c r="CO22" s="173"/>
      <c r="CP22" s="173"/>
      <c r="CQ22" s="173"/>
      <c r="CR22" s="173"/>
      <c r="CS22" s="173"/>
      <c r="CT22" s="173"/>
      <c r="CU22" s="173"/>
      <c r="CV22" s="173"/>
      <c r="CW22" s="173"/>
      <c r="CX22" s="173"/>
      <c r="CY22" s="173"/>
      <c r="CZ22" s="173"/>
      <c r="DA22" s="173"/>
      <c r="DB22" s="173"/>
      <c r="DC22" s="173"/>
      <c r="DD22" s="173"/>
      <c r="DE22" s="173"/>
      <c r="DF22" s="173"/>
      <c r="DG22" s="173"/>
      <c r="DH22" s="173"/>
      <c r="DI22" s="173"/>
      <c r="DJ22" s="173"/>
      <c r="DK22" s="173"/>
      <c r="DL22" s="173"/>
      <c r="DM22" s="173"/>
      <c r="DN22" s="173"/>
      <c r="DO22" s="173"/>
      <c r="DP22" s="173"/>
      <c r="DQ22" s="173"/>
      <c r="DR22" s="173"/>
      <c r="DS22" s="173"/>
      <c r="DT22" s="173"/>
      <c r="DU22" s="173"/>
      <c r="DV22" s="173"/>
      <c r="DW22" s="173"/>
      <c r="DX22" s="173"/>
      <c r="DY22" s="173"/>
      <c r="DZ22" s="173"/>
      <c r="EA22" s="173"/>
      <c r="EB22" s="173"/>
      <c r="EC22" s="173"/>
      <c r="ED22" s="173"/>
      <c r="EE22" s="173"/>
      <c r="EF22" s="173"/>
      <c r="EG22" s="173"/>
      <c r="EH22" s="173"/>
      <c r="EI22" s="173"/>
      <c r="EJ22" s="173"/>
      <c r="EK22" s="173"/>
      <c r="EL22" s="173"/>
      <c r="EM22" s="173"/>
      <c r="EN22" s="173"/>
      <c r="EO22" s="173"/>
      <c r="EP22" s="173"/>
      <c r="EQ22" s="173"/>
      <c r="ER22" s="173"/>
      <c r="ES22" s="173"/>
      <c r="ET22" s="173"/>
      <c r="EU22" s="173"/>
      <c r="EV22" s="173"/>
      <c r="EW22" s="173"/>
      <c r="EX22" s="173"/>
      <c r="EY22" s="173"/>
      <c r="EZ22" s="173"/>
      <c r="FA22" s="173"/>
      <c r="FB22" s="173"/>
      <c r="FC22" s="173"/>
      <c r="FD22" s="173"/>
      <c r="FE22" s="173"/>
      <c r="FF22" s="173"/>
      <c r="FG22" s="173"/>
      <c r="FH22" s="173"/>
      <c r="FI22" s="173"/>
      <c r="FJ22" s="173"/>
      <c r="FK22" s="173"/>
      <c r="FL22" s="173"/>
      <c r="FM22" s="173"/>
      <c r="FN22" s="173"/>
      <c r="FO22" s="173"/>
      <c r="FP22" s="173"/>
      <c r="FQ22" s="173"/>
      <c r="FR22" s="173"/>
      <c r="FS22" s="173"/>
      <c r="FT22" s="173"/>
      <c r="FU22" s="173"/>
      <c r="FV22" s="173"/>
      <c r="FW22" s="173"/>
      <c r="FX22" s="173"/>
      <c r="FY22" s="173"/>
      <c r="FZ22" s="173"/>
      <c r="GA22" s="173"/>
      <c r="GB22" s="173"/>
      <c r="GC22" s="173"/>
      <c r="GD22" s="173"/>
      <c r="GE22" s="174"/>
      <c r="GF22" s="155"/>
      <c r="GG22" s="172"/>
      <c r="GH22" s="172"/>
      <c r="GI22" s="172"/>
      <c r="GJ22" s="172"/>
      <c r="GK22" s="172"/>
      <c r="GL22" s="172"/>
      <c r="GM22" s="175">
        <v>0</v>
      </c>
      <c r="GN22" s="155"/>
      <c r="GO22" s="3">
        <v>0</v>
      </c>
      <c r="GP22" s="176" t="s">
        <v>36</v>
      </c>
      <c r="GQ22" s="176" t="s">
        <v>36</v>
      </c>
      <c r="GR22" s="176" t="s">
        <v>36</v>
      </c>
      <c r="GS22" s="161"/>
      <c r="GT22" s="3">
        <v>0</v>
      </c>
      <c r="GU22" s="3">
        <v>0</v>
      </c>
      <c r="GV22" s="155"/>
    </row>
    <row r="23" spans="1:204">
      <c r="A23" s="6"/>
      <c r="B23" s="10"/>
      <c r="C23" s="10"/>
      <c r="D23" s="172"/>
      <c r="E23" s="172"/>
      <c r="F23" s="172"/>
      <c r="G23" s="172"/>
      <c r="H23" s="172"/>
      <c r="I23" s="10"/>
      <c r="J23" s="172"/>
      <c r="K23" s="172"/>
      <c r="L23" s="172"/>
      <c r="M23" s="10"/>
      <c r="N23" s="10"/>
      <c r="O23" s="10"/>
      <c r="P23" s="6">
        <v>0</v>
      </c>
      <c r="Q23" s="173"/>
      <c r="R23" s="173"/>
      <c r="S23" s="173"/>
      <c r="T23" s="173"/>
      <c r="U23" s="173"/>
      <c r="V23" s="173"/>
      <c r="W23" s="173"/>
      <c r="X23" s="173"/>
      <c r="Y23" s="173"/>
      <c r="Z23" s="173"/>
      <c r="AA23" s="173"/>
      <c r="AB23" s="173"/>
      <c r="AC23" s="173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3"/>
      <c r="CG23" s="173"/>
      <c r="CH23" s="173"/>
      <c r="CI23" s="173"/>
      <c r="CJ23" s="173"/>
      <c r="CK23" s="173"/>
      <c r="CL23" s="173"/>
      <c r="CM23" s="173"/>
      <c r="CN23" s="173"/>
      <c r="CO23" s="173"/>
      <c r="CP23" s="173"/>
      <c r="CQ23" s="173"/>
      <c r="CR23" s="173"/>
      <c r="CS23" s="173"/>
      <c r="CT23" s="173"/>
      <c r="CU23" s="173"/>
      <c r="CV23" s="173"/>
      <c r="CW23" s="173"/>
      <c r="CX23" s="173"/>
      <c r="CY23" s="173"/>
      <c r="CZ23" s="173"/>
      <c r="DA23" s="173"/>
      <c r="DB23" s="173"/>
      <c r="DC23" s="173"/>
      <c r="DD23" s="173"/>
      <c r="DE23" s="173"/>
      <c r="DF23" s="173"/>
      <c r="DG23" s="173"/>
      <c r="DH23" s="173"/>
      <c r="DI23" s="173"/>
      <c r="DJ23" s="173"/>
      <c r="DK23" s="173"/>
      <c r="DL23" s="173"/>
      <c r="DM23" s="173"/>
      <c r="DN23" s="173"/>
      <c r="DO23" s="173"/>
      <c r="DP23" s="173"/>
      <c r="DQ23" s="173"/>
      <c r="DR23" s="173"/>
      <c r="DS23" s="173"/>
      <c r="DT23" s="173"/>
      <c r="DU23" s="173"/>
      <c r="DV23" s="173"/>
      <c r="DW23" s="173"/>
      <c r="DX23" s="173"/>
      <c r="DY23" s="173"/>
      <c r="DZ23" s="173"/>
      <c r="EA23" s="173"/>
      <c r="EB23" s="173"/>
      <c r="EC23" s="173"/>
      <c r="ED23" s="173"/>
      <c r="EE23" s="173"/>
      <c r="EF23" s="173"/>
      <c r="EG23" s="173"/>
      <c r="EH23" s="173"/>
      <c r="EI23" s="173"/>
      <c r="EJ23" s="173"/>
      <c r="EK23" s="173"/>
      <c r="EL23" s="173"/>
      <c r="EM23" s="173"/>
      <c r="EN23" s="173"/>
      <c r="EO23" s="173"/>
      <c r="EP23" s="173"/>
      <c r="EQ23" s="173"/>
      <c r="ER23" s="173"/>
      <c r="ES23" s="173"/>
      <c r="ET23" s="173"/>
      <c r="EU23" s="173"/>
      <c r="EV23" s="173"/>
      <c r="EW23" s="173"/>
      <c r="EX23" s="173"/>
      <c r="EY23" s="173"/>
      <c r="EZ23" s="173"/>
      <c r="FA23" s="173"/>
      <c r="FB23" s="173"/>
      <c r="FC23" s="173"/>
      <c r="FD23" s="173"/>
      <c r="FE23" s="173"/>
      <c r="FF23" s="173"/>
      <c r="FG23" s="173"/>
      <c r="FH23" s="173"/>
      <c r="FI23" s="173"/>
      <c r="FJ23" s="173"/>
      <c r="FK23" s="173"/>
      <c r="FL23" s="173"/>
      <c r="FM23" s="173"/>
      <c r="FN23" s="173"/>
      <c r="FO23" s="173"/>
      <c r="FP23" s="173"/>
      <c r="FQ23" s="173"/>
      <c r="FR23" s="173"/>
      <c r="FS23" s="173"/>
      <c r="FT23" s="173"/>
      <c r="FU23" s="173"/>
      <c r="FV23" s="173"/>
      <c r="FW23" s="173"/>
      <c r="FX23" s="173"/>
      <c r="FY23" s="173"/>
      <c r="FZ23" s="173"/>
      <c r="GA23" s="173"/>
      <c r="GB23" s="173"/>
      <c r="GC23" s="173"/>
      <c r="GD23" s="173"/>
      <c r="GE23" s="174"/>
      <c r="GF23" s="155"/>
      <c r="GG23" s="172"/>
      <c r="GH23" s="172"/>
      <c r="GI23" s="172"/>
      <c r="GJ23" s="172"/>
      <c r="GK23" s="172"/>
      <c r="GL23" s="172"/>
      <c r="GM23" s="175">
        <v>0</v>
      </c>
      <c r="GN23" s="155"/>
      <c r="GO23" s="3">
        <v>0</v>
      </c>
      <c r="GP23" s="176" t="s">
        <v>36</v>
      </c>
      <c r="GQ23" s="176" t="s">
        <v>36</v>
      </c>
      <c r="GR23" s="176" t="s">
        <v>36</v>
      </c>
      <c r="GS23" s="161"/>
      <c r="GT23" s="3">
        <v>0</v>
      </c>
      <c r="GU23" s="3">
        <v>0</v>
      </c>
      <c r="GV23" s="155"/>
    </row>
    <row r="24" spans="1:204">
      <c r="A24" s="6"/>
      <c r="B24" s="10"/>
      <c r="C24" s="10"/>
      <c r="D24" s="172"/>
      <c r="E24" s="172"/>
      <c r="F24" s="172"/>
      <c r="G24" s="172"/>
      <c r="H24" s="172"/>
      <c r="I24" s="10"/>
      <c r="J24" s="172"/>
      <c r="K24" s="172"/>
      <c r="L24" s="172"/>
      <c r="M24" s="10"/>
      <c r="N24" s="10"/>
      <c r="O24" s="10"/>
      <c r="P24" s="6">
        <v>0</v>
      </c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  <c r="AI24" s="173"/>
      <c r="AJ24" s="173"/>
      <c r="AK24" s="173"/>
      <c r="AL24" s="173"/>
      <c r="AM24" s="173"/>
      <c r="AN24" s="173"/>
      <c r="AO24" s="173"/>
      <c r="AP24" s="173"/>
      <c r="AQ24" s="173"/>
      <c r="AR24" s="173"/>
      <c r="AS24" s="173"/>
      <c r="AT24" s="173"/>
      <c r="AU24" s="173"/>
      <c r="AV24" s="173"/>
      <c r="AW24" s="173"/>
      <c r="AX24" s="173"/>
      <c r="AY24" s="173"/>
      <c r="AZ24" s="173"/>
      <c r="BA24" s="173"/>
      <c r="BB24" s="173"/>
      <c r="BC24" s="173"/>
      <c r="BD24" s="173"/>
      <c r="BE24" s="173"/>
      <c r="BF24" s="173"/>
      <c r="BG24" s="173"/>
      <c r="BH24" s="173"/>
      <c r="BI24" s="173"/>
      <c r="BJ24" s="173"/>
      <c r="BK24" s="173"/>
      <c r="BL24" s="173"/>
      <c r="BM24" s="173"/>
      <c r="BN24" s="173"/>
      <c r="BO24" s="173"/>
      <c r="BP24" s="173"/>
      <c r="BQ24" s="173"/>
      <c r="BR24" s="173"/>
      <c r="BS24" s="173"/>
      <c r="BT24" s="173"/>
      <c r="BU24" s="173"/>
      <c r="BV24" s="173"/>
      <c r="BW24" s="173"/>
      <c r="BX24" s="173"/>
      <c r="BY24" s="173"/>
      <c r="BZ24" s="173"/>
      <c r="CA24" s="173"/>
      <c r="CB24" s="173"/>
      <c r="CC24" s="173"/>
      <c r="CD24" s="173"/>
      <c r="CE24" s="173"/>
      <c r="CF24" s="173"/>
      <c r="CG24" s="173"/>
      <c r="CH24" s="173"/>
      <c r="CI24" s="173"/>
      <c r="CJ24" s="173"/>
      <c r="CK24" s="173"/>
      <c r="CL24" s="173"/>
      <c r="CM24" s="173"/>
      <c r="CN24" s="173"/>
      <c r="CO24" s="173"/>
      <c r="CP24" s="173"/>
      <c r="CQ24" s="173"/>
      <c r="CR24" s="173"/>
      <c r="CS24" s="173"/>
      <c r="CT24" s="173"/>
      <c r="CU24" s="173"/>
      <c r="CV24" s="173"/>
      <c r="CW24" s="173"/>
      <c r="CX24" s="173"/>
      <c r="CY24" s="173"/>
      <c r="CZ24" s="173"/>
      <c r="DA24" s="173"/>
      <c r="DB24" s="173"/>
      <c r="DC24" s="173"/>
      <c r="DD24" s="173"/>
      <c r="DE24" s="173"/>
      <c r="DF24" s="173"/>
      <c r="DG24" s="173"/>
      <c r="DH24" s="173"/>
      <c r="DI24" s="173"/>
      <c r="DJ24" s="173"/>
      <c r="DK24" s="173"/>
      <c r="DL24" s="173"/>
      <c r="DM24" s="173"/>
      <c r="DN24" s="173"/>
      <c r="DO24" s="173"/>
      <c r="DP24" s="173"/>
      <c r="DQ24" s="173"/>
      <c r="DR24" s="173"/>
      <c r="DS24" s="173"/>
      <c r="DT24" s="173"/>
      <c r="DU24" s="173"/>
      <c r="DV24" s="173"/>
      <c r="DW24" s="173"/>
      <c r="DX24" s="173"/>
      <c r="DY24" s="173"/>
      <c r="DZ24" s="173"/>
      <c r="EA24" s="173"/>
      <c r="EB24" s="173"/>
      <c r="EC24" s="173"/>
      <c r="ED24" s="173"/>
      <c r="EE24" s="173"/>
      <c r="EF24" s="173"/>
      <c r="EG24" s="173"/>
      <c r="EH24" s="173"/>
      <c r="EI24" s="173"/>
      <c r="EJ24" s="173"/>
      <c r="EK24" s="173"/>
      <c r="EL24" s="173"/>
      <c r="EM24" s="173"/>
      <c r="EN24" s="173"/>
      <c r="EO24" s="173"/>
      <c r="EP24" s="173"/>
      <c r="EQ24" s="173"/>
      <c r="ER24" s="173"/>
      <c r="ES24" s="173"/>
      <c r="ET24" s="173"/>
      <c r="EU24" s="173"/>
      <c r="EV24" s="173"/>
      <c r="EW24" s="173"/>
      <c r="EX24" s="173"/>
      <c r="EY24" s="173"/>
      <c r="EZ24" s="173"/>
      <c r="FA24" s="173"/>
      <c r="FB24" s="173"/>
      <c r="FC24" s="173"/>
      <c r="FD24" s="173"/>
      <c r="FE24" s="173"/>
      <c r="FF24" s="173"/>
      <c r="FG24" s="173"/>
      <c r="FH24" s="173"/>
      <c r="FI24" s="173"/>
      <c r="FJ24" s="173"/>
      <c r="FK24" s="173"/>
      <c r="FL24" s="173"/>
      <c r="FM24" s="173"/>
      <c r="FN24" s="173"/>
      <c r="FO24" s="173"/>
      <c r="FP24" s="173"/>
      <c r="FQ24" s="173"/>
      <c r="FR24" s="173"/>
      <c r="FS24" s="173"/>
      <c r="FT24" s="173"/>
      <c r="FU24" s="173"/>
      <c r="FV24" s="173"/>
      <c r="FW24" s="173"/>
      <c r="FX24" s="173"/>
      <c r="FY24" s="173"/>
      <c r="FZ24" s="173"/>
      <c r="GA24" s="173"/>
      <c r="GB24" s="173"/>
      <c r="GC24" s="173"/>
      <c r="GD24" s="173"/>
      <c r="GE24" s="174"/>
      <c r="GF24" s="155"/>
      <c r="GG24" s="172"/>
      <c r="GH24" s="172"/>
      <c r="GI24" s="172"/>
      <c r="GJ24" s="172"/>
      <c r="GK24" s="172"/>
      <c r="GL24" s="172"/>
      <c r="GM24" s="175">
        <v>0</v>
      </c>
      <c r="GN24" s="155"/>
      <c r="GO24" s="3">
        <v>0</v>
      </c>
      <c r="GP24" s="176" t="s">
        <v>36</v>
      </c>
      <c r="GQ24" s="176" t="s">
        <v>36</v>
      </c>
      <c r="GR24" s="176" t="s">
        <v>36</v>
      </c>
      <c r="GS24" s="161"/>
      <c r="GT24" s="3">
        <v>0</v>
      </c>
      <c r="GU24" s="3">
        <v>0</v>
      </c>
      <c r="GV24" s="155"/>
    </row>
    <row r="25" spans="1:204">
      <c r="A25" s="6"/>
      <c r="B25" s="10"/>
      <c r="C25" s="10"/>
      <c r="D25" s="172"/>
      <c r="E25" s="172"/>
      <c r="F25" s="172"/>
      <c r="G25" s="172"/>
      <c r="H25" s="172"/>
      <c r="I25" s="10"/>
      <c r="J25" s="172"/>
      <c r="K25" s="172"/>
      <c r="L25" s="172"/>
      <c r="M25" s="10"/>
      <c r="N25" s="10"/>
      <c r="O25" s="10"/>
      <c r="P25" s="6">
        <v>0</v>
      </c>
      <c r="Q25" s="173"/>
      <c r="R25" s="173"/>
      <c r="S25" s="173"/>
      <c r="T25" s="173"/>
      <c r="U25" s="173"/>
      <c r="V25" s="173"/>
      <c r="W25" s="173"/>
      <c r="X25" s="173"/>
      <c r="Y25" s="173"/>
      <c r="Z25" s="173"/>
      <c r="AA25" s="173"/>
      <c r="AB25" s="173"/>
      <c r="AC25" s="173"/>
      <c r="AD25" s="173"/>
      <c r="AE25" s="173"/>
      <c r="AF25" s="173"/>
      <c r="AG25" s="173"/>
      <c r="AH25" s="173"/>
      <c r="AI25" s="173"/>
      <c r="AJ25" s="173"/>
      <c r="AK25" s="173"/>
      <c r="AL25" s="173"/>
      <c r="AM25" s="173"/>
      <c r="AN25" s="173"/>
      <c r="AO25" s="173"/>
      <c r="AP25" s="173"/>
      <c r="AQ25" s="173"/>
      <c r="AR25" s="173"/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73"/>
      <c r="BV25" s="173"/>
      <c r="BW25" s="173"/>
      <c r="BX25" s="173"/>
      <c r="BY25" s="173"/>
      <c r="BZ25" s="173"/>
      <c r="CA25" s="173"/>
      <c r="CB25" s="173"/>
      <c r="CC25" s="173"/>
      <c r="CD25" s="173"/>
      <c r="CE25" s="173"/>
      <c r="CF25" s="173"/>
      <c r="CG25" s="173"/>
      <c r="CH25" s="173"/>
      <c r="CI25" s="173"/>
      <c r="CJ25" s="173"/>
      <c r="CK25" s="173"/>
      <c r="CL25" s="173"/>
      <c r="CM25" s="173"/>
      <c r="CN25" s="173"/>
      <c r="CO25" s="173"/>
      <c r="CP25" s="173"/>
      <c r="CQ25" s="173"/>
      <c r="CR25" s="173"/>
      <c r="CS25" s="173"/>
      <c r="CT25" s="173"/>
      <c r="CU25" s="173"/>
      <c r="CV25" s="173"/>
      <c r="CW25" s="173"/>
      <c r="CX25" s="173"/>
      <c r="CY25" s="173"/>
      <c r="CZ25" s="173"/>
      <c r="DA25" s="173"/>
      <c r="DB25" s="173"/>
      <c r="DC25" s="173"/>
      <c r="DD25" s="173"/>
      <c r="DE25" s="173"/>
      <c r="DF25" s="173"/>
      <c r="DG25" s="173"/>
      <c r="DH25" s="173"/>
      <c r="DI25" s="173"/>
      <c r="DJ25" s="173"/>
      <c r="DK25" s="173"/>
      <c r="DL25" s="173"/>
      <c r="DM25" s="173"/>
      <c r="DN25" s="173"/>
      <c r="DO25" s="173"/>
      <c r="DP25" s="173"/>
      <c r="DQ25" s="173"/>
      <c r="DR25" s="173"/>
      <c r="DS25" s="173"/>
      <c r="DT25" s="173"/>
      <c r="DU25" s="173"/>
      <c r="DV25" s="173"/>
      <c r="DW25" s="173"/>
      <c r="DX25" s="173"/>
      <c r="DY25" s="173"/>
      <c r="DZ25" s="173"/>
      <c r="EA25" s="173"/>
      <c r="EB25" s="173"/>
      <c r="EC25" s="173"/>
      <c r="ED25" s="173"/>
      <c r="EE25" s="173"/>
      <c r="EF25" s="173"/>
      <c r="EG25" s="173"/>
      <c r="EH25" s="173"/>
      <c r="EI25" s="173"/>
      <c r="EJ25" s="173"/>
      <c r="EK25" s="173"/>
      <c r="EL25" s="173"/>
      <c r="EM25" s="173"/>
      <c r="EN25" s="173"/>
      <c r="EO25" s="173"/>
      <c r="EP25" s="173"/>
      <c r="EQ25" s="173"/>
      <c r="ER25" s="173"/>
      <c r="ES25" s="173"/>
      <c r="ET25" s="173"/>
      <c r="EU25" s="173"/>
      <c r="EV25" s="173"/>
      <c r="EW25" s="173"/>
      <c r="EX25" s="173"/>
      <c r="EY25" s="173"/>
      <c r="EZ25" s="173"/>
      <c r="FA25" s="173"/>
      <c r="FB25" s="173"/>
      <c r="FC25" s="173"/>
      <c r="FD25" s="173"/>
      <c r="FE25" s="173"/>
      <c r="FF25" s="173"/>
      <c r="FG25" s="173"/>
      <c r="FH25" s="173"/>
      <c r="FI25" s="173"/>
      <c r="FJ25" s="173"/>
      <c r="FK25" s="173"/>
      <c r="FL25" s="173"/>
      <c r="FM25" s="173"/>
      <c r="FN25" s="173"/>
      <c r="FO25" s="173"/>
      <c r="FP25" s="173"/>
      <c r="FQ25" s="173"/>
      <c r="FR25" s="173"/>
      <c r="FS25" s="173"/>
      <c r="FT25" s="173"/>
      <c r="FU25" s="173"/>
      <c r="FV25" s="173"/>
      <c r="FW25" s="173"/>
      <c r="FX25" s="173"/>
      <c r="FY25" s="173"/>
      <c r="FZ25" s="173"/>
      <c r="GA25" s="173"/>
      <c r="GB25" s="173"/>
      <c r="GC25" s="173"/>
      <c r="GD25" s="173"/>
      <c r="GE25" s="174"/>
      <c r="GF25" s="155"/>
      <c r="GG25" s="172"/>
      <c r="GH25" s="172"/>
      <c r="GI25" s="172"/>
      <c r="GJ25" s="172"/>
      <c r="GK25" s="172"/>
      <c r="GL25" s="172"/>
      <c r="GM25" s="175">
        <v>0</v>
      </c>
      <c r="GN25" s="155"/>
      <c r="GO25" s="3">
        <v>0</v>
      </c>
      <c r="GP25" s="176" t="s">
        <v>36</v>
      </c>
      <c r="GQ25" s="176" t="s">
        <v>36</v>
      </c>
      <c r="GR25" s="176" t="s">
        <v>36</v>
      </c>
      <c r="GS25" s="161"/>
      <c r="GT25" s="3">
        <v>0</v>
      </c>
      <c r="GU25" s="3">
        <v>0</v>
      </c>
      <c r="GV25" s="155"/>
    </row>
    <row r="26" spans="1:204">
      <c r="A26" s="6"/>
      <c r="B26" s="10"/>
      <c r="C26" s="10"/>
      <c r="D26" s="172"/>
      <c r="E26" s="172"/>
      <c r="F26" s="172"/>
      <c r="G26" s="172"/>
      <c r="H26" s="172"/>
      <c r="I26" s="10"/>
      <c r="J26" s="172"/>
      <c r="K26" s="172"/>
      <c r="L26" s="172"/>
      <c r="M26" s="10"/>
      <c r="N26" s="10"/>
      <c r="O26" s="10"/>
      <c r="P26" s="6">
        <v>0</v>
      </c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3"/>
      <c r="CG26" s="173"/>
      <c r="CH26" s="173"/>
      <c r="CI26" s="173"/>
      <c r="CJ26" s="173"/>
      <c r="CK26" s="173"/>
      <c r="CL26" s="173"/>
      <c r="CM26" s="173"/>
      <c r="CN26" s="173"/>
      <c r="CO26" s="173"/>
      <c r="CP26" s="173"/>
      <c r="CQ26" s="173"/>
      <c r="CR26" s="173"/>
      <c r="CS26" s="173"/>
      <c r="CT26" s="173"/>
      <c r="CU26" s="173"/>
      <c r="CV26" s="173"/>
      <c r="CW26" s="173"/>
      <c r="CX26" s="173"/>
      <c r="CY26" s="173"/>
      <c r="CZ26" s="173"/>
      <c r="DA26" s="173"/>
      <c r="DB26" s="173"/>
      <c r="DC26" s="173"/>
      <c r="DD26" s="173"/>
      <c r="DE26" s="173"/>
      <c r="DF26" s="173"/>
      <c r="DG26" s="173"/>
      <c r="DH26" s="173"/>
      <c r="DI26" s="173"/>
      <c r="DJ26" s="173"/>
      <c r="DK26" s="173"/>
      <c r="DL26" s="173"/>
      <c r="DM26" s="173"/>
      <c r="DN26" s="173"/>
      <c r="DO26" s="173"/>
      <c r="DP26" s="173"/>
      <c r="DQ26" s="173"/>
      <c r="DR26" s="173"/>
      <c r="DS26" s="173"/>
      <c r="DT26" s="173"/>
      <c r="DU26" s="173"/>
      <c r="DV26" s="173"/>
      <c r="DW26" s="173"/>
      <c r="DX26" s="173"/>
      <c r="DY26" s="173"/>
      <c r="DZ26" s="173"/>
      <c r="EA26" s="173"/>
      <c r="EB26" s="173"/>
      <c r="EC26" s="173"/>
      <c r="ED26" s="173"/>
      <c r="EE26" s="173"/>
      <c r="EF26" s="173"/>
      <c r="EG26" s="173"/>
      <c r="EH26" s="173"/>
      <c r="EI26" s="173"/>
      <c r="EJ26" s="173"/>
      <c r="EK26" s="173"/>
      <c r="EL26" s="173"/>
      <c r="EM26" s="173"/>
      <c r="EN26" s="173"/>
      <c r="EO26" s="173"/>
      <c r="EP26" s="173"/>
      <c r="EQ26" s="173"/>
      <c r="ER26" s="173"/>
      <c r="ES26" s="173"/>
      <c r="ET26" s="173"/>
      <c r="EU26" s="173"/>
      <c r="EV26" s="173"/>
      <c r="EW26" s="173"/>
      <c r="EX26" s="173"/>
      <c r="EY26" s="173"/>
      <c r="EZ26" s="173"/>
      <c r="FA26" s="173"/>
      <c r="FB26" s="173"/>
      <c r="FC26" s="173"/>
      <c r="FD26" s="173"/>
      <c r="FE26" s="173"/>
      <c r="FF26" s="173"/>
      <c r="FG26" s="173"/>
      <c r="FH26" s="173"/>
      <c r="FI26" s="173"/>
      <c r="FJ26" s="173"/>
      <c r="FK26" s="173"/>
      <c r="FL26" s="173"/>
      <c r="FM26" s="173"/>
      <c r="FN26" s="173"/>
      <c r="FO26" s="173"/>
      <c r="FP26" s="173"/>
      <c r="FQ26" s="173"/>
      <c r="FR26" s="173"/>
      <c r="FS26" s="173"/>
      <c r="FT26" s="173"/>
      <c r="FU26" s="173"/>
      <c r="FV26" s="173"/>
      <c r="FW26" s="173"/>
      <c r="FX26" s="173"/>
      <c r="FY26" s="173"/>
      <c r="FZ26" s="173"/>
      <c r="GA26" s="173"/>
      <c r="GB26" s="173"/>
      <c r="GC26" s="173"/>
      <c r="GD26" s="173"/>
      <c r="GE26" s="174"/>
      <c r="GF26" s="155"/>
      <c r="GG26" s="172"/>
      <c r="GH26" s="172"/>
      <c r="GI26" s="172"/>
      <c r="GJ26" s="172"/>
      <c r="GK26" s="172"/>
      <c r="GL26" s="172"/>
      <c r="GM26" s="175">
        <v>0</v>
      </c>
      <c r="GN26" s="155"/>
      <c r="GO26" s="3">
        <v>0</v>
      </c>
      <c r="GP26" s="176" t="s">
        <v>36</v>
      </c>
      <c r="GQ26" s="176" t="s">
        <v>36</v>
      </c>
      <c r="GR26" s="176" t="s">
        <v>36</v>
      </c>
      <c r="GS26" s="161"/>
      <c r="GT26" s="3">
        <v>0</v>
      </c>
      <c r="GU26" s="3">
        <v>0</v>
      </c>
      <c r="GV26" s="155"/>
    </row>
    <row r="27" spans="1:204">
      <c r="A27" s="6"/>
      <c r="B27" s="10"/>
      <c r="C27" s="10"/>
      <c r="D27" s="172"/>
      <c r="E27" s="172"/>
      <c r="F27" s="172"/>
      <c r="G27" s="172"/>
      <c r="H27" s="172"/>
      <c r="I27" s="10"/>
      <c r="J27" s="172"/>
      <c r="K27" s="172"/>
      <c r="L27" s="172"/>
      <c r="M27" s="10"/>
      <c r="N27" s="10"/>
      <c r="O27" s="10"/>
      <c r="P27" s="6">
        <v>0</v>
      </c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3"/>
      <c r="AJ27" s="173"/>
      <c r="AK27" s="173"/>
      <c r="AL27" s="173"/>
      <c r="AM27" s="173"/>
      <c r="AN27" s="173"/>
      <c r="AO27" s="173"/>
      <c r="AP27" s="173"/>
      <c r="AQ27" s="173"/>
      <c r="AR27" s="173"/>
      <c r="AS27" s="173"/>
      <c r="AT27" s="173"/>
      <c r="AU27" s="173"/>
      <c r="AV27" s="173"/>
      <c r="AW27" s="173"/>
      <c r="AX27" s="173"/>
      <c r="AY27" s="173"/>
      <c r="AZ27" s="173"/>
      <c r="BA27" s="173"/>
      <c r="BB27" s="173"/>
      <c r="BC27" s="173"/>
      <c r="BD27" s="173"/>
      <c r="BE27" s="173"/>
      <c r="BF27" s="173"/>
      <c r="BG27" s="173"/>
      <c r="BH27" s="173"/>
      <c r="BI27" s="173"/>
      <c r="BJ27" s="173"/>
      <c r="BK27" s="173"/>
      <c r="BL27" s="173"/>
      <c r="BM27" s="173"/>
      <c r="BN27" s="173"/>
      <c r="BO27" s="173"/>
      <c r="BP27" s="173"/>
      <c r="BQ27" s="173"/>
      <c r="BR27" s="173"/>
      <c r="BS27" s="173"/>
      <c r="BT27" s="173"/>
      <c r="BU27" s="173"/>
      <c r="BV27" s="173"/>
      <c r="BW27" s="173"/>
      <c r="BX27" s="173"/>
      <c r="BY27" s="173"/>
      <c r="BZ27" s="173"/>
      <c r="CA27" s="173"/>
      <c r="CB27" s="173"/>
      <c r="CC27" s="173"/>
      <c r="CD27" s="173"/>
      <c r="CE27" s="173"/>
      <c r="CF27" s="173"/>
      <c r="CG27" s="173"/>
      <c r="CH27" s="173"/>
      <c r="CI27" s="173"/>
      <c r="CJ27" s="173"/>
      <c r="CK27" s="173"/>
      <c r="CL27" s="173"/>
      <c r="CM27" s="173"/>
      <c r="CN27" s="173"/>
      <c r="CO27" s="173"/>
      <c r="CP27" s="173"/>
      <c r="CQ27" s="173"/>
      <c r="CR27" s="173"/>
      <c r="CS27" s="173"/>
      <c r="CT27" s="173"/>
      <c r="CU27" s="173"/>
      <c r="CV27" s="173"/>
      <c r="CW27" s="173"/>
      <c r="CX27" s="173"/>
      <c r="CY27" s="173"/>
      <c r="CZ27" s="173"/>
      <c r="DA27" s="173"/>
      <c r="DB27" s="173"/>
      <c r="DC27" s="173"/>
      <c r="DD27" s="173"/>
      <c r="DE27" s="173"/>
      <c r="DF27" s="173"/>
      <c r="DG27" s="173"/>
      <c r="DH27" s="173"/>
      <c r="DI27" s="173"/>
      <c r="DJ27" s="173"/>
      <c r="DK27" s="173"/>
      <c r="DL27" s="173"/>
      <c r="DM27" s="173"/>
      <c r="DN27" s="173"/>
      <c r="DO27" s="173"/>
      <c r="DP27" s="173"/>
      <c r="DQ27" s="173"/>
      <c r="DR27" s="173"/>
      <c r="DS27" s="173"/>
      <c r="DT27" s="173"/>
      <c r="DU27" s="173"/>
      <c r="DV27" s="173"/>
      <c r="DW27" s="173"/>
      <c r="DX27" s="173"/>
      <c r="DY27" s="173"/>
      <c r="DZ27" s="173"/>
      <c r="EA27" s="173"/>
      <c r="EB27" s="173"/>
      <c r="EC27" s="173"/>
      <c r="ED27" s="173"/>
      <c r="EE27" s="173"/>
      <c r="EF27" s="173"/>
      <c r="EG27" s="173"/>
      <c r="EH27" s="173"/>
      <c r="EI27" s="173"/>
      <c r="EJ27" s="173"/>
      <c r="EK27" s="173"/>
      <c r="EL27" s="173"/>
      <c r="EM27" s="173"/>
      <c r="EN27" s="173"/>
      <c r="EO27" s="173"/>
      <c r="EP27" s="173"/>
      <c r="EQ27" s="173"/>
      <c r="ER27" s="173"/>
      <c r="ES27" s="173"/>
      <c r="ET27" s="173"/>
      <c r="EU27" s="173"/>
      <c r="EV27" s="173"/>
      <c r="EW27" s="173"/>
      <c r="EX27" s="173"/>
      <c r="EY27" s="173"/>
      <c r="EZ27" s="173"/>
      <c r="FA27" s="173"/>
      <c r="FB27" s="173"/>
      <c r="FC27" s="173"/>
      <c r="FD27" s="173"/>
      <c r="FE27" s="173"/>
      <c r="FF27" s="173"/>
      <c r="FG27" s="173"/>
      <c r="FH27" s="173"/>
      <c r="FI27" s="173"/>
      <c r="FJ27" s="173"/>
      <c r="FK27" s="173"/>
      <c r="FL27" s="173"/>
      <c r="FM27" s="173"/>
      <c r="FN27" s="173"/>
      <c r="FO27" s="173"/>
      <c r="FP27" s="173"/>
      <c r="FQ27" s="173"/>
      <c r="FR27" s="173"/>
      <c r="FS27" s="173"/>
      <c r="FT27" s="173"/>
      <c r="FU27" s="173"/>
      <c r="FV27" s="173"/>
      <c r="FW27" s="173"/>
      <c r="FX27" s="173"/>
      <c r="FY27" s="173"/>
      <c r="FZ27" s="173"/>
      <c r="GA27" s="173"/>
      <c r="GB27" s="173"/>
      <c r="GC27" s="173"/>
      <c r="GD27" s="173"/>
      <c r="GE27" s="174"/>
      <c r="GF27" s="155"/>
      <c r="GG27" s="172"/>
      <c r="GH27" s="172"/>
      <c r="GI27" s="172"/>
      <c r="GJ27" s="172"/>
      <c r="GK27" s="172"/>
      <c r="GL27" s="172"/>
      <c r="GM27" s="175">
        <v>0</v>
      </c>
      <c r="GN27" s="155"/>
      <c r="GO27" s="3">
        <v>0</v>
      </c>
      <c r="GP27" s="176" t="s">
        <v>36</v>
      </c>
      <c r="GQ27" s="176" t="s">
        <v>36</v>
      </c>
      <c r="GR27" s="176" t="s">
        <v>36</v>
      </c>
      <c r="GS27" s="161"/>
      <c r="GT27" s="3">
        <v>0</v>
      </c>
      <c r="GU27" s="3">
        <v>0</v>
      </c>
      <c r="GV27" s="155"/>
    </row>
    <row r="28" spans="1:204">
      <c r="A28" s="6"/>
      <c r="B28" s="10"/>
      <c r="C28" s="10"/>
      <c r="D28" s="172"/>
      <c r="E28" s="172"/>
      <c r="F28" s="172"/>
      <c r="G28" s="172"/>
      <c r="H28" s="172"/>
      <c r="I28" s="10"/>
      <c r="J28" s="172"/>
      <c r="K28" s="172"/>
      <c r="L28" s="172"/>
      <c r="M28" s="10"/>
      <c r="N28" s="10"/>
      <c r="O28" s="10"/>
      <c r="P28" s="6">
        <v>0</v>
      </c>
      <c r="Q28" s="173"/>
      <c r="R28" s="173"/>
      <c r="S28" s="173"/>
      <c r="T28" s="173"/>
      <c r="U28" s="173"/>
      <c r="V28" s="173"/>
      <c r="W28" s="173"/>
      <c r="X28" s="173"/>
      <c r="Y28" s="173"/>
      <c r="Z28" s="173"/>
      <c r="AA28" s="173"/>
      <c r="AB28" s="173"/>
      <c r="AC28" s="173"/>
      <c r="AD28" s="173"/>
      <c r="AE28" s="173"/>
      <c r="AF28" s="173"/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3"/>
      <c r="BC28" s="173"/>
      <c r="BD28" s="173"/>
      <c r="BE28" s="173"/>
      <c r="BF28" s="173"/>
      <c r="BG28" s="173"/>
      <c r="BH28" s="173"/>
      <c r="BI28" s="173"/>
      <c r="BJ28" s="173"/>
      <c r="BK28" s="173"/>
      <c r="BL28" s="173"/>
      <c r="BM28" s="173"/>
      <c r="BN28" s="173"/>
      <c r="BO28" s="173"/>
      <c r="BP28" s="173"/>
      <c r="BQ28" s="173"/>
      <c r="BR28" s="173"/>
      <c r="BS28" s="173"/>
      <c r="BT28" s="173"/>
      <c r="BU28" s="173"/>
      <c r="BV28" s="173"/>
      <c r="BW28" s="173"/>
      <c r="BX28" s="173"/>
      <c r="BY28" s="173"/>
      <c r="BZ28" s="173"/>
      <c r="CA28" s="173"/>
      <c r="CB28" s="173"/>
      <c r="CC28" s="173"/>
      <c r="CD28" s="173"/>
      <c r="CE28" s="173"/>
      <c r="CF28" s="173"/>
      <c r="CG28" s="173"/>
      <c r="CH28" s="173"/>
      <c r="CI28" s="173"/>
      <c r="CJ28" s="173"/>
      <c r="CK28" s="173"/>
      <c r="CL28" s="173"/>
      <c r="CM28" s="173"/>
      <c r="CN28" s="173"/>
      <c r="CO28" s="173"/>
      <c r="CP28" s="173"/>
      <c r="CQ28" s="173"/>
      <c r="CR28" s="173"/>
      <c r="CS28" s="173"/>
      <c r="CT28" s="173"/>
      <c r="CU28" s="173"/>
      <c r="CV28" s="173"/>
      <c r="CW28" s="173"/>
      <c r="CX28" s="173"/>
      <c r="CY28" s="173"/>
      <c r="CZ28" s="173"/>
      <c r="DA28" s="173"/>
      <c r="DB28" s="173"/>
      <c r="DC28" s="173"/>
      <c r="DD28" s="173"/>
      <c r="DE28" s="173"/>
      <c r="DF28" s="173"/>
      <c r="DG28" s="173"/>
      <c r="DH28" s="173"/>
      <c r="DI28" s="173"/>
      <c r="DJ28" s="173"/>
      <c r="DK28" s="173"/>
      <c r="DL28" s="173"/>
      <c r="DM28" s="173"/>
      <c r="DN28" s="173"/>
      <c r="DO28" s="173"/>
      <c r="DP28" s="173"/>
      <c r="DQ28" s="173"/>
      <c r="DR28" s="173"/>
      <c r="DS28" s="173"/>
      <c r="DT28" s="173"/>
      <c r="DU28" s="173"/>
      <c r="DV28" s="173"/>
      <c r="DW28" s="173"/>
      <c r="DX28" s="173"/>
      <c r="DY28" s="173"/>
      <c r="DZ28" s="173"/>
      <c r="EA28" s="173"/>
      <c r="EB28" s="173"/>
      <c r="EC28" s="173"/>
      <c r="ED28" s="173"/>
      <c r="EE28" s="173"/>
      <c r="EF28" s="173"/>
      <c r="EG28" s="173"/>
      <c r="EH28" s="173"/>
      <c r="EI28" s="173"/>
      <c r="EJ28" s="173"/>
      <c r="EK28" s="173"/>
      <c r="EL28" s="173"/>
      <c r="EM28" s="173"/>
      <c r="EN28" s="173"/>
      <c r="EO28" s="173"/>
      <c r="EP28" s="173"/>
      <c r="EQ28" s="173"/>
      <c r="ER28" s="173"/>
      <c r="ES28" s="173"/>
      <c r="ET28" s="173"/>
      <c r="EU28" s="173"/>
      <c r="EV28" s="173"/>
      <c r="EW28" s="173"/>
      <c r="EX28" s="173"/>
      <c r="EY28" s="173"/>
      <c r="EZ28" s="173"/>
      <c r="FA28" s="173"/>
      <c r="FB28" s="173"/>
      <c r="FC28" s="173"/>
      <c r="FD28" s="173"/>
      <c r="FE28" s="173"/>
      <c r="FF28" s="173"/>
      <c r="FG28" s="173"/>
      <c r="FH28" s="173"/>
      <c r="FI28" s="173"/>
      <c r="FJ28" s="173"/>
      <c r="FK28" s="173"/>
      <c r="FL28" s="173"/>
      <c r="FM28" s="173"/>
      <c r="FN28" s="173"/>
      <c r="FO28" s="173"/>
      <c r="FP28" s="173"/>
      <c r="FQ28" s="173"/>
      <c r="FR28" s="173"/>
      <c r="FS28" s="173"/>
      <c r="FT28" s="173"/>
      <c r="FU28" s="173"/>
      <c r="FV28" s="173"/>
      <c r="FW28" s="173"/>
      <c r="FX28" s="173"/>
      <c r="FY28" s="173"/>
      <c r="FZ28" s="173"/>
      <c r="GA28" s="173"/>
      <c r="GB28" s="173"/>
      <c r="GC28" s="173"/>
      <c r="GD28" s="173"/>
      <c r="GE28" s="174"/>
      <c r="GF28" s="155"/>
      <c r="GG28" s="172"/>
      <c r="GH28" s="172"/>
      <c r="GI28" s="172"/>
      <c r="GJ28" s="172"/>
      <c r="GK28" s="172"/>
      <c r="GL28" s="172"/>
      <c r="GM28" s="175">
        <v>0</v>
      </c>
      <c r="GN28" s="155"/>
      <c r="GO28" s="3">
        <v>0</v>
      </c>
      <c r="GP28" s="176" t="s">
        <v>36</v>
      </c>
      <c r="GQ28" s="176" t="s">
        <v>36</v>
      </c>
      <c r="GR28" s="176" t="s">
        <v>36</v>
      </c>
      <c r="GS28" s="161"/>
      <c r="GT28" s="3">
        <v>0</v>
      </c>
      <c r="GU28" s="3">
        <v>0</v>
      </c>
      <c r="GV28" s="155"/>
    </row>
    <row r="29" spans="1:204">
      <c r="A29" s="6"/>
      <c r="B29" s="10"/>
      <c r="C29" s="10"/>
      <c r="D29" s="172"/>
      <c r="E29" s="172"/>
      <c r="F29" s="172"/>
      <c r="G29" s="172"/>
      <c r="H29" s="172"/>
      <c r="I29" s="10"/>
      <c r="J29" s="172"/>
      <c r="K29" s="172"/>
      <c r="L29" s="172"/>
      <c r="M29" s="10"/>
      <c r="N29" s="10"/>
      <c r="O29" s="10"/>
      <c r="P29" s="6">
        <v>0</v>
      </c>
      <c r="Q29" s="173"/>
      <c r="R29" s="173"/>
      <c r="S29" s="173"/>
      <c r="T29" s="173"/>
      <c r="U29" s="173"/>
      <c r="V29" s="173"/>
      <c r="W29" s="173"/>
      <c r="X29" s="173"/>
      <c r="Y29" s="173"/>
      <c r="Z29" s="173"/>
      <c r="AA29" s="173"/>
      <c r="AB29" s="173"/>
      <c r="AC29" s="173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3"/>
      <c r="CG29" s="173"/>
      <c r="CH29" s="173"/>
      <c r="CI29" s="173"/>
      <c r="CJ29" s="173"/>
      <c r="CK29" s="173"/>
      <c r="CL29" s="173"/>
      <c r="CM29" s="173"/>
      <c r="CN29" s="173"/>
      <c r="CO29" s="173"/>
      <c r="CP29" s="173"/>
      <c r="CQ29" s="173"/>
      <c r="CR29" s="173"/>
      <c r="CS29" s="173"/>
      <c r="CT29" s="173"/>
      <c r="CU29" s="173"/>
      <c r="CV29" s="173"/>
      <c r="CW29" s="173"/>
      <c r="CX29" s="173"/>
      <c r="CY29" s="173"/>
      <c r="CZ29" s="173"/>
      <c r="DA29" s="173"/>
      <c r="DB29" s="173"/>
      <c r="DC29" s="173"/>
      <c r="DD29" s="173"/>
      <c r="DE29" s="173"/>
      <c r="DF29" s="173"/>
      <c r="DG29" s="173"/>
      <c r="DH29" s="173"/>
      <c r="DI29" s="173"/>
      <c r="DJ29" s="173"/>
      <c r="DK29" s="173"/>
      <c r="DL29" s="173"/>
      <c r="DM29" s="173"/>
      <c r="DN29" s="173"/>
      <c r="DO29" s="173"/>
      <c r="DP29" s="173"/>
      <c r="DQ29" s="173"/>
      <c r="DR29" s="173"/>
      <c r="DS29" s="173"/>
      <c r="DT29" s="173"/>
      <c r="DU29" s="173"/>
      <c r="DV29" s="173"/>
      <c r="DW29" s="173"/>
      <c r="DX29" s="173"/>
      <c r="DY29" s="173"/>
      <c r="DZ29" s="173"/>
      <c r="EA29" s="173"/>
      <c r="EB29" s="173"/>
      <c r="EC29" s="173"/>
      <c r="ED29" s="173"/>
      <c r="EE29" s="173"/>
      <c r="EF29" s="173"/>
      <c r="EG29" s="173"/>
      <c r="EH29" s="173"/>
      <c r="EI29" s="173"/>
      <c r="EJ29" s="173"/>
      <c r="EK29" s="173"/>
      <c r="EL29" s="173"/>
      <c r="EM29" s="173"/>
      <c r="EN29" s="173"/>
      <c r="EO29" s="173"/>
      <c r="EP29" s="173"/>
      <c r="EQ29" s="173"/>
      <c r="ER29" s="173"/>
      <c r="ES29" s="173"/>
      <c r="ET29" s="173"/>
      <c r="EU29" s="173"/>
      <c r="EV29" s="173"/>
      <c r="EW29" s="173"/>
      <c r="EX29" s="173"/>
      <c r="EY29" s="173"/>
      <c r="EZ29" s="173"/>
      <c r="FA29" s="173"/>
      <c r="FB29" s="173"/>
      <c r="FC29" s="173"/>
      <c r="FD29" s="173"/>
      <c r="FE29" s="173"/>
      <c r="FF29" s="173"/>
      <c r="FG29" s="173"/>
      <c r="FH29" s="173"/>
      <c r="FI29" s="173"/>
      <c r="FJ29" s="173"/>
      <c r="FK29" s="173"/>
      <c r="FL29" s="173"/>
      <c r="FM29" s="173"/>
      <c r="FN29" s="173"/>
      <c r="FO29" s="173"/>
      <c r="FP29" s="173"/>
      <c r="FQ29" s="173"/>
      <c r="FR29" s="173"/>
      <c r="FS29" s="173"/>
      <c r="FT29" s="173"/>
      <c r="FU29" s="173"/>
      <c r="FV29" s="173"/>
      <c r="FW29" s="173"/>
      <c r="FX29" s="173"/>
      <c r="FY29" s="173"/>
      <c r="FZ29" s="173"/>
      <c r="GA29" s="173"/>
      <c r="GB29" s="173"/>
      <c r="GC29" s="173"/>
      <c r="GD29" s="173"/>
      <c r="GE29" s="174"/>
      <c r="GF29" s="155"/>
      <c r="GG29" s="172"/>
      <c r="GH29" s="172"/>
      <c r="GI29" s="172"/>
      <c r="GJ29" s="172"/>
      <c r="GK29" s="172"/>
      <c r="GL29" s="172"/>
      <c r="GM29" s="175">
        <v>0</v>
      </c>
      <c r="GN29" s="155"/>
      <c r="GO29" s="3">
        <v>0</v>
      </c>
      <c r="GP29" s="176" t="s">
        <v>36</v>
      </c>
      <c r="GQ29" s="176" t="s">
        <v>36</v>
      </c>
      <c r="GR29" s="176" t="s">
        <v>36</v>
      </c>
      <c r="GS29" s="161"/>
      <c r="GT29" s="3">
        <v>0</v>
      </c>
      <c r="GU29" s="3">
        <v>0</v>
      </c>
      <c r="GV29" s="155"/>
    </row>
    <row r="30" spans="1:204">
      <c r="A30" s="6"/>
      <c r="B30" s="10"/>
      <c r="C30" s="10"/>
      <c r="D30" s="172"/>
      <c r="E30" s="172"/>
      <c r="F30" s="172"/>
      <c r="G30" s="172"/>
      <c r="H30" s="172"/>
      <c r="I30" s="10"/>
      <c r="J30" s="172"/>
      <c r="K30" s="172"/>
      <c r="L30" s="172"/>
      <c r="M30" s="10"/>
      <c r="N30" s="10"/>
      <c r="O30" s="10"/>
      <c r="P30" s="6">
        <v>0</v>
      </c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73"/>
      <c r="AM30" s="173"/>
      <c r="AN30" s="173"/>
      <c r="AO30" s="173"/>
      <c r="AP30" s="173"/>
      <c r="AQ30" s="173"/>
      <c r="AR30" s="173"/>
      <c r="AS30" s="173"/>
      <c r="AT30" s="173"/>
      <c r="AU30" s="173"/>
      <c r="AV30" s="173"/>
      <c r="AW30" s="173"/>
      <c r="AX30" s="173"/>
      <c r="AY30" s="173"/>
      <c r="AZ30" s="173"/>
      <c r="BA30" s="173"/>
      <c r="BB30" s="173"/>
      <c r="BC30" s="173"/>
      <c r="BD30" s="173"/>
      <c r="BE30" s="173"/>
      <c r="BF30" s="173"/>
      <c r="BG30" s="173"/>
      <c r="BH30" s="173"/>
      <c r="BI30" s="173"/>
      <c r="BJ30" s="173"/>
      <c r="BK30" s="173"/>
      <c r="BL30" s="173"/>
      <c r="BM30" s="173"/>
      <c r="BN30" s="173"/>
      <c r="BO30" s="173"/>
      <c r="BP30" s="173"/>
      <c r="BQ30" s="173"/>
      <c r="BR30" s="173"/>
      <c r="BS30" s="173"/>
      <c r="BT30" s="173"/>
      <c r="BU30" s="173"/>
      <c r="BV30" s="173"/>
      <c r="BW30" s="173"/>
      <c r="BX30" s="173"/>
      <c r="BY30" s="173"/>
      <c r="BZ30" s="173"/>
      <c r="CA30" s="173"/>
      <c r="CB30" s="173"/>
      <c r="CC30" s="173"/>
      <c r="CD30" s="173"/>
      <c r="CE30" s="173"/>
      <c r="CF30" s="173"/>
      <c r="CG30" s="173"/>
      <c r="CH30" s="173"/>
      <c r="CI30" s="173"/>
      <c r="CJ30" s="173"/>
      <c r="CK30" s="173"/>
      <c r="CL30" s="173"/>
      <c r="CM30" s="173"/>
      <c r="CN30" s="173"/>
      <c r="CO30" s="173"/>
      <c r="CP30" s="173"/>
      <c r="CQ30" s="173"/>
      <c r="CR30" s="173"/>
      <c r="CS30" s="173"/>
      <c r="CT30" s="173"/>
      <c r="CU30" s="173"/>
      <c r="CV30" s="173"/>
      <c r="CW30" s="173"/>
      <c r="CX30" s="173"/>
      <c r="CY30" s="173"/>
      <c r="CZ30" s="173"/>
      <c r="DA30" s="173"/>
      <c r="DB30" s="173"/>
      <c r="DC30" s="173"/>
      <c r="DD30" s="173"/>
      <c r="DE30" s="173"/>
      <c r="DF30" s="173"/>
      <c r="DG30" s="173"/>
      <c r="DH30" s="173"/>
      <c r="DI30" s="173"/>
      <c r="DJ30" s="173"/>
      <c r="DK30" s="173"/>
      <c r="DL30" s="173"/>
      <c r="DM30" s="173"/>
      <c r="DN30" s="173"/>
      <c r="DO30" s="173"/>
      <c r="DP30" s="173"/>
      <c r="DQ30" s="173"/>
      <c r="DR30" s="173"/>
      <c r="DS30" s="173"/>
      <c r="DT30" s="173"/>
      <c r="DU30" s="173"/>
      <c r="DV30" s="173"/>
      <c r="DW30" s="173"/>
      <c r="DX30" s="173"/>
      <c r="DY30" s="173"/>
      <c r="DZ30" s="173"/>
      <c r="EA30" s="173"/>
      <c r="EB30" s="173"/>
      <c r="EC30" s="173"/>
      <c r="ED30" s="173"/>
      <c r="EE30" s="173"/>
      <c r="EF30" s="173"/>
      <c r="EG30" s="173"/>
      <c r="EH30" s="173"/>
      <c r="EI30" s="173"/>
      <c r="EJ30" s="173"/>
      <c r="EK30" s="173"/>
      <c r="EL30" s="173"/>
      <c r="EM30" s="173"/>
      <c r="EN30" s="173"/>
      <c r="EO30" s="173"/>
      <c r="EP30" s="173"/>
      <c r="EQ30" s="173"/>
      <c r="ER30" s="173"/>
      <c r="ES30" s="173"/>
      <c r="ET30" s="173"/>
      <c r="EU30" s="173"/>
      <c r="EV30" s="173"/>
      <c r="EW30" s="173"/>
      <c r="EX30" s="173"/>
      <c r="EY30" s="173"/>
      <c r="EZ30" s="173"/>
      <c r="FA30" s="173"/>
      <c r="FB30" s="173"/>
      <c r="FC30" s="173"/>
      <c r="FD30" s="173"/>
      <c r="FE30" s="173"/>
      <c r="FF30" s="173"/>
      <c r="FG30" s="173"/>
      <c r="FH30" s="173"/>
      <c r="FI30" s="173"/>
      <c r="FJ30" s="173"/>
      <c r="FK30" s="173"/>
      <c r="FL30" s="173"/>
      <c r="FM30" s="173"/>
      <c r="FN30" s="173"/>
      <c r="FO30" s="173"/>
      <c r="FP30" s="173"/>
      <c r="FQ30" s="173"/>
      <c r="FR30" s="173"/>
      <c r="FS30" s="173"/>
      <c r="FT30" s="173"/>
      <c r="FU30" s="173"/>
      <c r="FV30" s="173"/>
      <c r="FW30" s="173"/>
      <c r="FX30" s="173"/>
      <c r="FY30" s="173"/>
      <c r="FZ30" s="173"/>
      <c r="GA30" s="173"/>
      <c r="GB30" s="173"/>
      <c r="GC30" s="173"/>
      <c r="GD30" s="173"/>
      <c r="GE30" s="174"/>
      <c r="GF30" s="155"/>
      <c r="GG30" s="172"/>
      <c r="GH30" s="172"/>
      <c r="GI30" s="172"/>
      <c r="GJ30" s="172"/>
      <c r="GK30" s="172"/>
      <c r="GL30" s="172"/>
      <c r="GM30" s="175">
        <v>0</v>
      </c>
      <c r="GN30" s="155"/>
      <c r="GO30" s="3">
        <v>0</v>
      </c>
      <c r="GP30" s="176" t="s">
        <v>36</v>
      </c>
      <c r="GQ30" s="176" t="s">
        <v>36</v>
      </c>
      <c r="GR30" s="176" t="s">
        <v>36</v>
      </c>
      <c r="GS30" s="161"/>
      <c r="GT30" s="3">
        <v>0</v>
      </c>
      <c r="GU30" s="3">
        <v>0</v>
      </c>
      <c r="GV30" s="155"/>
    </row>
    <row r="31" spans="1:204">
      <c r="A31" s="6"/>
      <c r="B31" s="10"/>
      <c r="C31" s="10"/>
      <c r="D31" s="172"/>
      <c r="E31" s="172"/>
      <c r="F31" s="172"/>
      <c r="G31" s="172"/>
      <c r="H31" s="172"/>
      <c r="I31" s="10"/>
      <c r="J31" s="172"/>
      <c r="K31" s="172"/>
      <c r="L31" s="172"/>
      <c r="M31" s="10"/>
      <c r="N31" s="10"/>
      <c r="O31" s="10"/>
      <c r="P31" s="6">
        <v>0</v>
      </c>
      <c r="Q31" s="173"/>
      <c r="R31" s="173"/>
      <c r="S31" s="173"/>
      <c r="T31" s="173"/>
      <c r="U31" s="173"/>
      <c r="V31" s="173"/>
      <c r="W31" s="173"/>
      <c r="X31" s="173"/>
      <c r="Y31" s="173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3"/>
      <c r="AL31" s="173"/>
      <c r="AM31" s="173"/>
      <c r="AN31" s="173"/>
      <c r="AO31" s="173"/>
      <c r="AP31" s="173"/>
      <c r="AQ31" s="173"/>
      <c r="AR31" s="173"/>
      <c r="AS31" s="173"/>
      <c r="AT31" s="173"/>
      <c r="AU31" s="173"/>
      <c r="AV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173"/>
      <c r="BL31" s="173"/>
      <c r="BM31" s="173"/>
      <c r="BN31" s="173"/>
      <c r="BO31" s="173"/>
      <c r="BP31" s="173"/>
      <c r="BQ31" s="173"/>
      <c r="BR31" s="173"/>
      <c r="BS31" s="173"/>
      <c r="BT31" s="173"/>
      <c r="BU31" s="173"/>
      <c r="BV31" s="173"/>
      <c r="BW31" s="173"/>
      <c r="BX31" s="173"/>
      <c r="BY31" s="173"/>
      <c r="BZ31" s="173"/>
      <c r="CA31" s="173"/>
      <c r="CB31" s="173"/>
      <c r="CC31" s="173"/>
      <c r="CD31" s="173"/>
      <c r="CE31" s="173"/>
      <c r="CF31" s="173"/>
      <c r="CG31" s="173"/>
      <c r="CH31" s="173"/>
      <c r="CI31" s="173"/>
      <c r="CJ31" s="173"/>
      <c r="CK31" s="173"/>
      <c r="CL31" s="173"/>
      <c r="CM31" s="173"/>
      <c r="CN31" s="173"/>
      <c r="CO31" s="173"/>
      <c r="CP31" s="173"/>
      <c r="CQ31" s="173"/>
      <c r="CR31" s="173"/>
      <c r="CS31" s="173"/>
      <c r="CT31" s="173"/>
      <c r="CU31" s="173"/>
      <c r="CV31" s="173"/>
      <c r="CW31" s="173"/>
      <c r="CX31" s="173"/>
      <c r="CY31" s="173"/>
      <c r="CZ31" s="173"/>
      <c r="DA31" s="173"/>
      <c r="DB31" s="173"/>
      <c r="DC31" s="173"/>
      <c r="DD31" s="173"/>
      <c r="DE31" s="173"/>
      <c r="DF31" s="173"/>
      <c r="DG31" s="173"/>
      <c r="DH31" s="173"/>
      <c r="DI31" s="173"/>
      <c r="DJ31" s="173"/>
      <c r="DK31" s="173"/>
      <c r="DL31" s="173"/>
      <c r="DM31" s="173"/>
      <c r="DN31" s="173"/>
      <c r="DO31" s="173"/>
      <c r="DP31" s="173"/>
      <c r="DQ31" s="173"/>
      <c r="DR31" s="173"/>
      <c r="DS31" s="173"/>
      <c r="DT31" s="173"/>
      <c r="DU31" s="173"/>
      <c r="DV31" s="173"/>
      <c r="DW31" s="173"/>
      <c r="DX31" s="173"/>
      <c r="DY31" s="173"/>
      <c r="DZ31" s="173"/>
      <c r="EA31" s="173"/>
      <c r="EB31" s="173"/>
      <c r="EC31" s="173"/>
      <c r="ED31" s="173"/>
      <c r="EE31" s="173"/>
      <c r="EF31" s="173"/>
      <c r="EG31" s="173"/>
      <c r="EH31" s="173"/>
      <c r="EI31" s="173"/>
      <c r="EJ31" s="173"/>
      <c r="EK31" s="173"/>
      <c r="EL31" s="173"/>
      <c r="EM31" s="173"/>
      <c r="EN31" s="173"/>
      <c r="EO31" s="173"/>
      <c r="EP31" s="173"/>
      <c r="EQ31" s="173"/>
      <c r="ER31" s="173"/>
      <c r="ES31" s="173"/>
      <c r="ET31" s="173"/>
      <c r="EU31" s="173"/>
      <c r="EV31" s="173"/>
      <c r="EW31" s="173"/>
      <c r="EX31" s="173"/>
      <c r="EY31" s="173"/>
      <c r="EZ31" s="173"/>
      <c r="FA31" s="173"/>
      <c r="FB31" s="173"/>
      <c r="FC31" s="173"/>
      <c r="FD31" s="173"/>
      <c r="FE31" s="173"/>
      <c r="FF31" s="173"/>
      <c r="FG31" s="173"/>
      <c r="FH31" s="173"/>
      <c r="FI31" s="173"/>
      <c r="FJ31" s="173"/>
      <c r="FK31" s="173"/>
      <c r="FL31" s="173"/>
      <c r="FM31" s="173"/>
      <c r="FN31" s="173"/>
      <c r="FO31" s="173"/>
      <c r="FP31" s="173"/>
      <c r="FQ31" s="173"/>
      <c r="FR31" s="173"/>
      <c r="FS31" s="173"/>
      <c r="FT31" s="173"/>
      <c r="FU31" s="173"/>
      <c r="FV31" s="173"/>
      <c r="FW31" s="173"/>
      <c r="FX31" s="173"/>
      <c r="FY31" s="173"/>
      <c r="FZ31" s="173"/>
      <c r="GA31" s="173"/>
      <c r="GB31" s="173"/>
      <c r="GC31" s="173"/>
      <c r="GD31" s="173"/>
      <c r="GE31" s="174"/>
      <c r="GF31" s="155"/>
      <c r="GG31" s="172"/>
      <c r="GH31" s="172"/>
      <c r="GI31" s="172"/>
      <c r="GJ31" s="172"/>
      <c r="GK31" s="172"/>
      <c r="GL31" s="172"/>
      <c r="GM31" s="175">
        <v>0</v>
      </c>
      <c r="GN31" s="155"/>
      <c r="GO31" s="3">
        <v>0</v>
      </c>
      <c r="GP31" s="176" t="s">
        <v>36</v>
      </c>
      <c r="GQ31" s="176" t="s">
        <v>36</v>
      </c>
      <c r="GR31" s="176" t="s">
        <v>36</v>
      </c>
      <c r="GS31" s="161"/>
      <c r="GT31" s="3">
        <v>0</v>
      </c>
      <c r="GU31" s="3">
        <v>0</v>
      </c>
      <c r="GV31" s="155"/>
    </row>
    <row r="32" spans="1:204">
      <c r="A32" s="6"/>
      <c r="B32" s="10"/>
      <c r="C32" s="10"/>
      <c r="D32" s="172"/>
      <c r="E32" s="172"/>
      <c r="F32" s="172"/>
      <c r="G32" s="172"/>
      <c r="H32" s="172"/>
      <c r="I32" s="10"/>
      <c r="J32" s="172"/>
      <c r="K32" s="172"/>
      <c r="L32" s="172"/>
      <c r="M32" s="10"/>
      <c r="N32" s="10"/>
      <c r="O32" s="10"/>
      <c r="P32" s="6">
        <v>0</v>
      </c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3"/>
      <c r="CG32" s="173"/>
      <c r="CH32" s="173"/>
      <c r="CI32" s="173"/>
      <c r="CJ32" s="173"/>
      <c r="CK32" s="173"/>
      <c r="CL32" s="173"/>
      <c r="CM32" s="173"/>
      <c r="CN32" s="173"/>
      <c r="CO32" s="173"/>
      <c r="CP32" s="173"/>
      <c r="CQ32" s="173"/>
      <c r="CR32" s="173"/>
      <c r="CS32" s="173"/>
      <c r="CT32" s="173"/>
      <c r="CU32" s="173"/>
      <c r="CV32" s="173"/>
      <c r="CW32" s="173"/>
      <c r="CX32" s="173"/>
      <c r="CY32" s="173"/>
      <c r="CZ32" s="173"/>
      <c r="DA32" s="173"/>
      <c r="DB32" s="173"/>
      <c r="DC32" s="173"/>
      <c r="DD32" s="173"/>
      <c r="DE32" s="173"/>
      <c r="DF32" s="173"/>
      <c r="DG32" s="173"/>
      <c r="DH32" s="173"/>
      <c r="DI32" s="173"/>
      <c r="DJ32" s="173"/>
      <c r="DK32" s="173"/>
      <c r="DL32" s="173"/>
      <c r="DM32" s="173"/>
      <c r="DN32" s="173"/>
      <c r="DO32" s="173"/>
      <c r="DP32" s="173"/>
      <c r="DQ32" s="173"/>
      <c r="DR32" s="173"/>
      <c r="DS32" s="173"/>
      <c r="DT32" s="173"/>
      <c r="DU32" s="173"/>
      <c r="DV32" s="173"/>
      <c r="DW32" s="173"/>
      <c r="DX32" s="173"/>
      <c r="DY32" s="173"/>
      <c r="DZ32" s="173"/>
      <c r="EA32" s="173"/>
      <c r="EB32" s="173"/>
      <c r="EC32" s="173"/>
      <c r="ED32" s="173"/>
      <c r="EE32" s="173"/>
      <c r="EF32" s="173"/>
      <c r="EG32" s="173"/>
      <c r="EH32" s="173"/>
      <c r="EI32" s="173"/>
      <c r="EJ32" s="173"/>
      <c r="EK32" s="173"/>
      <c r="EL32" s="173"/>
      <c r="EM32" s="173"/>
      <c r="EN32" s="173"/>
      <c r="EO32" s="173"/>
      <c r="EP32" s="173"/>
      <c r="EQ32" s="173"/>
      <c r="ER32" s="173"/>
      <c r="ES32" s="173"/>
      <c r="ET32" s="173"/>
      <c r="EU32" s="173"/>
      <c r="EV32" s="173"/>
      <c r="EW32" s="173"/>
      <c r="EX32" s="173"/>
      <c r="EY32" s="173"/>
      <c r="EZ32" s="173"/>
      <c r="FA32" s="173"/>
      <c r="FB32" s="173"/>
      <c r="FC32" s="173"/>
      <c r="FD32" s="173"/>
      <c r="FE32" s="173"/>
      <c r="FF32" s="173"/>
      <c r="FG32" s="173"/>
      <c r="FH32" s="173"/>
      <c r="FI32" s="173"/>
      <c r="FJ32" s="173"/>
      <c r="FK32" s="173"/>
      <c r="FL32" s="173"/>
      <c r="FM32" s="173"/>
      <c r="FN32" s="173"/>
      <c r="FO32" s="173"/>
      <c r="FP32" s="173"/>
      <c r="FQ32" s="173"/>
      <c r="FR32" s="173"/>
      <c r="FS32" s="173"/>
      <c r="FT32" s="173"/>
      <c r="FU32" s="173"/>
      <c r="FV32" s="173"/>
      <c r="FW32" s="173"/>
      <c r="FX32" s="173"/>
      <c r="FY32" s="173"/>
      <c r="FZ32" s="173"/>
      <c r="GA32" s="173"/>
      <c r="GB32" s="173"/>
      <c r="GC32" s="173"/>
      <c r="GD32" s="173"/>
      <c r="GE32" s="174"/>
      <c r="GF32" s="155"/>
      <c r="GG32" s="172"/>
      <c r="GH32" s="172"/>
      <c r="GI32" s="172"/>
      <c r="GJ32" s="172"/>
      <c r="GK32" s="172"/>
      <c r="GL32" s="172"/>
      <c r="GM32" s="175">
        <v>0</v>
      </c>
      <c r="GN32" s="155"/>
      <c r="GO32" s="3">
        <v>0</v>
      </c>
      <c r="GP32" s="176" t="s">
        <v>36</v>
      </c>
      <c r="GQ32" s="176" t="s">
        <v>36</v>
      </c>
      <c r="GR32" s="176" t="s">
        <v>36</v>
      </c>
      <c r="GS32" s="161"/>
      <c r="GT32" s="3">
        <v>0</v>
      </c>
      <c r="GU32" s="3">
        <v>0</v>
      </c>
      <c r="GV32" s="155"/>
    </row>
    <row r="33" spans="1:204">
      <c r="A33" s="6"/>
      <c r="B33" s="10"/>
      <c r="C33" s="10"/>
      <c r="D33" s="172"/>
      <c r="E33" s="172"/>
      <c r="F33" s="172"/>
      <c r="G33" s="172"/>
      <c r="H33" s="172"/>
      <c r="I33" s="10"/>
      <c r="J33" s="172"/>
      <c r="K33" s="172"/>
      <c r="L33" s="172"/>
      <c r="M33" s="10"/>
      <c r="N33" s="10"/>
      <c r="O33" s="10"/>
      <c r="P33" s="6">
        <v>0</v>
      </c>
      <c r="Q33" s="173"/>
      <c r="R33" s="173"/>
      <c r="S33" s="173"/>
      <c r="T33" s="173"/>
      <c r="U33" s="173"/>
      <c r="V33" s="173"/>
      <c r="W33" s="173"/>
      <c r="X33" s="173"/>
      <c r="Y33" s="173"/>
      <c r="Z33" s="173"/>
      <c r="AA33" s="173"/>
      <c r="AB33" s="173"/>
      <c r="AC33" s="173"/>
      <c r="AD33" s="173"/>
      <c r="AE33" s="173"/>
      <c r="AF33" s="173"/>
      <c r="AG33" s="173"/>
      <c r="AH33" s="173"/>
      <c r="AI33" s="173"/>
      <c r="AJ33" s="173"/>
      <c r="AK33" s="173"/>
      <c r="AL33" s="173"/>
      <c r="AM33" s="173"/>
      <c r="AN33" s="173"/>
      <c r="AO33" s="173"/>
      <c r="AP33" s="173"/>
      <c r="AQ33" s="173"/>
      <c r="AR33" s="173"/>
      <c r="AS33" s="173"/>
      <c r="AT33" s="173"/>
      <c r="AU33" s="173"/>
      <c r="AV33" s="173"/>
      <c r="AW33" s="173"/>
      <c r="AX33" s="173"/>
      <c r="AY33" s="173"/>
      <c r="AZ33" s="173"/>
      <c r="BA33" s="173"/>
      <c r="BB33" s="173"/>
      <c r="BC33" s="173"/>
      <c r="BD33" s="173"/>
      <c r="BE33" s="173"/>
      <c r="BF33" s="173"/>
      <c r="BG33" s="173"/>
      <c r="BH33" s="173"/>
      <c r="BI33" s="173"/>
      <c r="BJ33" s="173"/>
      <c r="BK33" s="173"/>
      <c r="BL33" s="173"/>
      <c r="BM33" s="173"/>
      <c r="BN33" s="173"/>
      <c r="BO33" s="173"/>
      <c r="BP33" s="173"/>
      <c r="BQ33" s="173"/>
      <c r="BR33" s="173"/>
      <c r="BS33" s="173"/>
      <c r="BT33" s="173"/>
      <c r="BU33" s="173"/>
      <c r="BV33" s="173"/>
      <c r="BW33" s="173"/>
      <c r="BX33" s="173"/>
      <c r="BY33" s="173"/>
      <c r="BZ33" s="173"/>
      <c r="CA33" s="173"/>
      <c r="CB33" s="173"/>
      <c r="CC33" s="173"/>
      <c r="CD33" s="173"/>
      <c r="CE33" s="173"/>
      <c r="CF33" s="173"/>
      <c r="CG33" s="173"/>
      <c r="CH33" s="173"/>
      <c r="CI33" s="173"/>
      <c r="CJ33" s="173"/>
      <c r="CK33" s="173"/>
      <c r="CL33" s="173"/>
      <c r="CM33" s="173"/>
      <c r="CN33" s="173"/>
      <c r="CO33" s="173"/>
      <c r="CP33" s="173"/>
      <c r="CQ33" s="173"/>
      <c r="CR33" s="173"/>
      <c r="CS33" s="173"/>
      <c r="CT33" s="173"/>
      <c r="CU33" s="173"/>
      <c r="CV33" s="173"/>
      <c r="CW33" s="173"/>
      <c r="CX33" s="173"/>
      <c r="CY33" s="173"/>
      <c r="CZ33" s="173"/>
      <c r="DA33" s="173"/>
      <c r="DB33" s="173"/>
      <c r="DC33" s="173"/>
      <c r="DD33" s="173"/>
      <c r="DE33" s="173"/>
      <c r="DF33" s="173"/>
      <c r="DG33" s="173"/>
      <c r="DH33" s="173"/>
      <c r="DI33" s="173"/>
      <c r="DJ33" s="173"/>
      <c r="DK33" s="173"/>
      <c r="DL33" s="173"/>
      <c r="DM33" s="173"/>
      <c r="DN33" s="173"/>
      <c r="DO33" s="173"/>
      <c r="DP33" s="173"/>
      <c r="DQ33" s="173"/>
      <c r="DR33" s="173"/>
      <c r="DS33" s="173"/>
      <c r="DT33" s="173"/>
      <c r="DU33" s="173"/>
      <c r="DV33" s="173"/>
      <c r="DW33" s="173"/>
      <c r="DX33" s="173"/>
      <c r="DY33" s="173"/>
      <c r="DZ33" s="173"/>
      <c r="EA33" s="173"/>
      <c r="EB33" s="173"/>
      <c r="EC33" s="173"/>
      <c r="ED33" s="173"/>
      <c r="EE33" s="173"/>
      <c r="EF33" s="173"/>
      <c r="EG33" s="173"/>
      <c r="EH33" s="173"/>
      <c r="EI33" s="173"/>
      <c r="EJ33" s="173"/>
      <c r="EK33" s="173"/>
      <c r="EL33" s="173"/>
      <c r="EM33" s="173"/>
      <c r="EN33" s="173"/>
      <c r="EO33" s="173"/>
      <c r="EP33" s="173"/>
      <c r="EQ33" s="173"/>
      <c r="ER33" s="173"/>
      <c r="ES33" s="173"/>
      <c r="ET33" s="173"/>
      <c r="EU33" s="173"/>
      <c r="EV33" s="173"/>
      <c r="EW33" s="173"/>
      <c r="EX33" s="173"/>
      <c r="EY33" s="173"/>
      <c r="EZ33" s="173"/>
      <c r="FA33" s="173"/>
      <c r="FB33" s="173"/>
      <c r="FC33" s="173"/>
      <c r="FD33" s="173"/>
      <c r="FE33" s="173"/>
      <c r="FF33" s="173"/>
      <c r="FG33" s="173"/>
      <c r="FH33" s="173"/>
      <c r="FI33" s="173"/>
      <c r="FJ33" s="173"/>
      <c r="FK33" s="173"/>
      <c r="FL33" s="173"/>
      <c r="FM33" s="173"/>
      <c r="FN33" s="173"/>
      <c r="FO33" s="173"/>
      <c r="FP33" s="173"/>
      <c r="FQ33" s="173"/>
      <c r="FR33" s="173"/>
      <c r="FS33" s="173"/>
      <c r="FT33" s="173"/>
      <c r="FU33" s="173"/>
      <c r="FV33" s="173"/>
      <c r="FW33" s="173"/>
      <c r="FX33" s="173"/>
      <c r="FY33" s="173"/>
      <c r="FZ33" s="173"/>
      <c r="GA33" s="173"/>
      <c r="GB33" s="173"/>
      <c r="GC33" s="173"/>
      <c r="GD33" s="173"/>
      <c r="GE33" s="174"/>
      <c r="GF33" s="155"/>
      <c r="GG33" s="172"/>
      <c r="GH33" s="172"/>
      <c r="GI33" s="172"/>
      <c r="GJ33" s="172"/>
      <c r="GK33" s="172"/>
      <c r="GL33" s="172"/>
      <c r="GM33" s="175">
        <v>0</v>
      </c>
      <c r="GN33" s="155"/>
      <c r="GO33" s="3">
        <v>0</v>
      </c>
      <c r="GP33" s="176" t="s">
        <v>36</v>
      </c>
      <c r="GQ33" s="176" t="s">
        <v>36</v>
      </c>
      <c r="GR33" s="176" t="s">
        <v>36</v>
      </c>
      <c r="GS33" s="161"/>
      <c r="GT33" s="3">
        <v>0</v>
      </c>
      <c r="GU33" s="3">
        <v>0</v>
      </c>
      <c r="GV33" s="155"/>
    </row>
    <row r="34" spans="1:204">
      <c r="A34" s="6"/>
      <c r="B34" s="10"/>
      <c r="C34" s="10"/>
      <c r="D34" s="172"/>
      <c r="E34" s="172"/>
      <c r="F34" s="172"/>
      <c r="G34" s="172"/>
      <c r="H34" s="172"/>
      <c r="I34" s="10"/>
      <c r="J34" s="172"/>
      <c r="K34" s="172"/>
      <c r="L34" s="172"/>
      <c r="M34" s="10"/>
      <c r="N34" s="10"/>
      <c r="O34" s="10"/>
      <c r="P34" s="6">
        <v>0</v>
      </c>
      <c r="Q34" s="173"/>
      <c r="R34" s="173"/>
      <c r="S34" s="173"/>
      <c r="T34" s="173"/>
      <c r="U34" s="173"/>
      <c r="V34" s="173"/>
      <c r="W34" s="173"/>
      <c r="X34" s="173"/>
      <c r="Y34" s="173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3"/>
      <c r="AL34" s="173"/>
      <c r="AM34" s="173"/>
      <c r="AN34" s="173"/>
      <c r="AO34" s="173"/>
      <c r="AP34" s="173"/>
      <c r="AQ34" s="173"/>
      <c r="AR34" s="173"/>
      <c r="AS34" s="173"/>
      <c r="AT34" s="173"/>
      <c r="AU34" s="173"/>
      <c r="AV34" s="173"/>
      <c r="AW34" s="173"/>
      <c r="AX34" s="173"/>
      <c r="AY34" s="173"/>
      <c r="AZ34" s="173"/>
      <c r="BA34" s="173"/>
      <c r="BB34" s="173"/>
      <c r="BC34" s="173"/>
      <c r="BD34" s="173"/>
      <c r="BE34" s="173"/>
      <c r="BF34" s="173"/>
      <c r="BG34" s="173"/>
      <c r="BH34" s="173"/>
      <c r="BI34" s="173"/>
      <c r="BJ34" s="173"/>
      <c r="BK34" s="173"/>
      <c r="BL34" s="173"/>
      <c r="BM34" s="173"/>
      <c r="BN34" s="173"/>
      <c r="BO34" s="173"/>
      <c r="BP34" s="173"/>
      <c r="BQ34" s="173"/>
      <c r="BR34" s="173"/>
      <c r="BS34" s="173"/>
      <c r="BT34" s="173"/>
      <c r="BU34" s="173"/>
      <c r="BV34" s="173"/>
      <c r="BW34" s="173"/>
      <c r="BX34" s="173"/>
      <c r="BY34" s="173"/>
      <c r="BZ34" s="173"/>
      <c r="CA34" s="173"/>
      <c r="CB34" s="173"/>
      <c r="CC34" s="173"/>
      <c r="CD34" s="173"/>
      <c r="CE34" s="173"/>
      <c r="CF34" s="173"/>
      <c r="CG34" s="173"/>
      <c r="CH34" s="173"/>
      <c r="CI34" s="173"/>
      <c r="CJ34" s="173"/>
      <c r="CK34" s="173"/>
      <c r="CL34" s="173"/>
      <c r="CM34" s="173"/>
      <c r="CN34" s="173"/>
      <c r="CO34" s="173"/>
      <c r="CP34" s="173"/>
      <c r="CQ34" s="173"/>
      <c r="CR34" s="173"/>
      <c r="CS34" s="173"/>
      <c r="CT34" s="173"/>
      <c r="CU34" s="173"/>
      <c r="CV34" s="173"/>
      <c r="CW34" s="173"/>
      <c r="CX34" s="173"/>
      <c r="CY34" s="173"/>
      <c r="CZ34" s="173"/>
      <c r="DA34" s="173"/>
      <c r="DB34" s="173"/>
      <c r="DC34" s="173"/>
      <c r="DD34" s="173"/>
      <c r="DE34" s="173"/>
      <c r="DF34" s="173"/>
      <c r="DG34" s="173"/>
      <c r="DH34" s="173"/>
      <c r="DI34" s="173"/>
      <c r="DJ34" s="173"/>
      <c r="DK34" s="173"/>
      <c r="DL34" s="173"/>
      <c r="DM34" s="173"/>
      <c r="DN34" s="173"/>
      <c r="DO34" s="173"/>
      <c r="DP34" s="173"/>
      <c r="DQ34" s="173"/>
      <c r="DR34" s="173"/>
      <c r="DS34" s="173"/>
      <c r="DT34" s="173"/>
      <c r="DU34" s="173"/>
      <c r="DV34" s="173"/>
      <c r="DW34" s="173"/>
      <c r="DX34" s="173"/>
      <c r="DY34" s="173"/>
      <c r="DZ34" s="173"/>
      <c r="EA34" s="173"/>
      <c r="EB34" s="173"/>
      <c r="EC34" s="173"/>
      <c r="ED34" s="173"/>
      <c r="EE34" s="173"/>
      <c r="EF34" s="173"/>
      <c r="EG34" s="173"/>
      <c r="EH34" s="173"/>
      <c r="EI34" s="173"/>
      <c r="EJ34" s="173"/>
      <c r="EK34" s="173"/>
      <c r="EL34" s="173"/>
      <c r="EM34" s="173"/>
      <c r="EN34" s="173"/>
      <c r="EO34" s="173"/>
      <c r="EP34" s="173"/>
      <c r="EQ34" s="173"/>
      <c r="ER34" s="173"/>
      <c r="ES34" s="173"/>
      <c r="ET34" s="173"/>
      <c r="EU34" s="173"/>
      <c r="EV34" s="173"/>
      <c r="EW34" s="173"/>
      <c r="EX34" s="173"/>
      <c r="EY34" s="173"/>
      <c r="EZ34" s="173"/>
      <c r="FA34" s="173"/>
      <c r="FB34" s="173"/>
      <c r="FC34" s="173"/>
      <c r="FD34" s="173"/>
      <c r="FE34" s="173"/>
      <c r="FF34" s="173"/>
      <c r="FG34" s="173"/>
      <c r="FH34" s="173"/>
      <c r="FI34" s="173"/>
      <c r="FJ34" s="173"/>
      <c r="FK34" s="173"/>
      <c r="FL34" s="173"/>
      <c r="FM34" s="173"/>
      <c r="FN34" s="173"/>
      <c r="FO34" s="173"/>
      <c r="FP34" s="173"/>
      <c r="FQ34" s="173"/>
      <c r="FR34" s="173"/>
      <c r="FS34" s="173"/>
      <c r="FT34" s="173"/>
      <c r="FU34" s="173"/>
      <c r="FV34" s="173"/>
      <c r="FW34" s="173"/>
      <c r="FX34" s="173"/>
      <c r="FY34" s="173"/>
      <c r="FZ34" s="173"/>
      <c r="GA34" s="173"/>
      <c r="GB34" s="173"/>
      <c r="GC34" s="173"/>
      <c r="GD34" s="173"/>
      <c r="GE34" s="174"/>
      <c r="GF34" s="155"/>
      <c r="GG34" s="172"/>
      <c r="GH34" s="172"/>
      <c r="GI34" s="172"/>
      <c r="GJ34" s="172"/>
      <c r="GK34" s="172"/>
      <c r="GL34" s="172"/>
      <c r="GM34" s="175">
        <v>0</v>
      </c>
      <c r="GN34" s="155"/>
      <c r="GO34" s="3">
        <v>0</v>
      </c>
      <c r="GP34" s="176" t="s">
        <v>36</v>
      </c>
      <c r="GQ34" s="176" t="s">
        <v>36</v>
      </c>
      <c r="GR34" s="176" t="s">
        <v>36</v>
      </c>
      <c r="GS34" s="161"/>
      <c r="GT34" s="3">
        <v>0</v>
      </c>
      <c r="GU34" s="3">
        <v>0</v>
      </c>
      <c r="GV34" s="155"/>
    </row>
    <row r="35" spans="1:204">
      <c r="A35" s="6"/>
      <c r="B35" s="10"/>
      <c r="C35" s="10"/>
      <c r="D35" s="172"/>
      <c r="E35" s="172"/>
      <c r="F35" s="172"/>
      <c r="G35" s="172"/>
      <c r="H35" s="172"/>
      <c r="I35" s="10"/>
      <c r="J35" s="172"/>
      <c r="K35" s="172"/>
      <c r="L35" s="172"/>
      <c r="M35" s="10"/>
      <c r="N35" s="10"/>
      <c r="O35" s="10"/>
      <c r="P35" s="6">
        <v>0</v>
      </c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3"/>
      <c r="CG35" s="173"/>
      <c r="CH35" s="173"/>
      <c r="CI35" s="173"/>
      <c r="CJ35" s="173"/>
      <c r="CK35" s="173"/>
      <c r="CL35" s="173"/>
      <c r="CM35" s="173"/>
      <c r="CN35" s="173"/>
      <c r="CO35" s="173"/>
      <c r="CP35" s="173"/>
      <c r="CQ35" s="173"/>
      <c r="CR35" s="173"/>
      <c r="CS35" s="173"/>
      <c r="CT35" s="173"/>
      <c r="CU35" s="173"/>
      <c r="CV35" s="173"/>
      <c r="CW35" s="173"/>
      <c r="CX35" s="173"/>
      <c r="CY35" s="173"/>
      <c r="CZ35" s="173"/>
      <c r="DA35" s="173"/>
      <c r="DB35" s="173"/>
      <c r="DC35" s="173"/>
      <c r="DD35" s="173"/>
      <c r="DE35" s="173"/>
      <c r="DF35" s="173"/>
      <c r="DG35" s="173"/>
      <c r="DH35" s="173"/>
      <c r="DI35" s="173"/>
      <c r="DJ35" s="173"/>
      <c r="DK35" s="173"/>
      <c r="DL35" s="173"/>
      <c r="DM35" s="173"/>
      <c r="DN35" s="173"/>
      <c r="DO35" s="173"/>
      <c r="DP35" s="173"/>
      <c r="DQ35" s="173"/>
      <c r="DR35" s="173"/>
      <c r="DS35" s="173"/>
      <c r="DT35" s="173"/>
      <c r="DU35" s="173"/>
      <c r="DV35" s="173"/>
      <c r="DW35" s="173"/>
      <c r="DX35" s="173"/>
      <c r="DY35" s="173"/>
      <c r="DZ35" s="173"/>
      <c r="EA35" s="173"/>
      <c r="EB35" s="173"/>
      <c r="EC35" s="173"/>
      <c r="ED35" s="173"/>
      <c r="EE35" s="173"/>
      <c r="EF35" s="173"/>
      <c r="EG35" s="173"/>
      <c r="EH35" s="173"/>
      <c r="EI35" s="173"/>
      <c r="EJ35" s="173"/>
      <c r="EK35" s="173"/>
      <c r="EL35" s="173"/>
      <c r="EM35" s="173"/>
      <c r="EN35" s="173"/>
      <c r="EO35" s="173"/>
      <c r="EP35" s="173"/>
      <c r="EQ35" s="173"/>
      <c r="ER35" s="173"/>
      <c r="ES35" s="173"/>
      <c r="ET35" s="173"/>
      <c r="EU35" s="173"/>
      <c r="EV35" s="173"/>
      <c r="EW35" s="173"/>
      <c r="EX35" s="173"/>
      <c r="EY35" s="173"/>
      <c r="EZ35" s="173"/>
      <c r="FA35" s="173"/>
      <c r="FB35" s="173"/>
      <c r="FC35" s="173"/>
      <c r="FD35" s="173"/>
      <c r="FE35" s="173"/>
      <c r="FF35" s="173"/>
      <c r="FG35" s="173"/>
      <c r="FH35" s="173"/>
      <c r="FI35" s="173"/>
      <c r="FJ35" s="173"/>
      <c r="FK35" s="173"/>
      <c r="FL35" s="173"/>
      <c r="FM35" s="173"/>
      <c r="FN35" s="173"/>
      <c r="FO35" s="173"/>
      <c r="FP35" s="173"/>
      <c r="FQ35" s="173"/>
      <c r="FR35" s="173"/>
      <c r="FS35" s="173"/>
      <c r="FT35" s="173"/>
      <c r="FU35" s="173"/>
      <c r="FV35" s="173"/>
      <c r="FW35" s="173"/>
      <c r="FX35" s="173"/>
      <c r="FY35" s="173"/>
      <c r="FZ35" s="173"/>
      <c r="GA35" s="173"/>
      <c r="GB35" s="173"/>
      <c r="GC35" s="173"/>
      <c r="GD35" s="173"/>
      <c r="GE35" s="174"/>
      <c r="GF35" s="155"/>
      <c r="GG35" s="172"/>
      <c r="GH35" s="172"/>
      <c r="GI35" s="172"/>
      <c r="GJ35" s="172"/>
      <c r="GK35" s="172"/>
      <c r="GL35" s="172"/>
      <c r="GM35" s="175">
        <v>0</v>
      </c>
      <c r="GN35" s="155"/>
      <c r="GO35" s="3">
        <v>0</v>
      </c>
      <c r="GP35" s="176" t="s">
        <v>36</v>
      </c>
      <c r="GQ35" s="176" t="s">
        <v>36</v>
      </c>
      <c r="GR35" s="176" t="s">
        <v>36</v>
      </c>
      <c r="GS35" s="161"/>
      <c r="GT35" s="3">
        <v>0</v>
      </c>
      <c r="GU35" s="3">
        <v>0</v>
      </c>
      <c r="GV35" s="155"/>
    </row>
    <row r="36" spans="1:204">
      <c r="A36" s="6"/>
      <c r="B36" s="10"/>
      <c r="C36" s="10"/>
      <c r="D36" s="172"/>
      <c r="E36" s="172"/>
      <c r="F36" s="172"/>
      <c r="G36" s="172"/>
      <c r="H36" s="172"/>
      <c r="I36" s="10"/>
      <c r="J36" s="172"/>
      <c r="K36" s="172"/>
      <c r="L36" s="172"/>
      <c r="M36" s="10"/>
      <c r="N36" s="10"/>
      <c r="O36" s="10"/>
      <c r="P36" s="6">
        <v>0</v>
      </c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3"/>
      <c r="AL36" s="173"/>
      <c r="AM36" s="173"/>
      <c r="AN36" s="173"/>
      <c r="AO36" s="173"/>
      <c r="AP36" s="173"/>
      <c r="AQ36" s="173"/>
      <c r="AR36" s="173"/>
      <c r="AS36" s="173"/>
      <c r="AT36" s="173"/>
      <c r="AU36" s="173"/>
      <c r="AV36" s="173"/>
      <c r="AW36" s="173"/>
      <c r="AX36" s="173"/>
      <c r="AY36" s="173"/>
      <c r="AZ36" s="173"/>
      <c r="BA36" s="173"/>
      <c r="BB36" s="173"/>
      <c r="BC36" s="173"/>
      <c r="BD36" s="173"/>
      <c r="BE36" s="173"/>
      <c r="BF36" s="173"/>
      <c r="BG36" s="173"/>
      <c r="BH36" s="173"/>
      <c r="BI36" s="173"/>
      <c r="BJ36" s="173"/>
      <c r="BK36" s="173"/>
      <c r="BL36" s="173"/>
      <c r="BM36" s="173"/>
      <c r="BN36" s="173"/>
      <c r="BO36" s="173"/>
      <c r="BP36" s="173"/>
      <c r="BQ36" s="173"/>
      <c r="BR36" s="173"/>
      <c r="BS36" s="173"/>
      <c r="BT36" s="173"/>
      <c r="BU36" s="173"/>
      <c r="BV36" s="173"/>
      <c r="BW36" s="173"/>
      <c r="BX36" s="173"/>
      <c r="BY36" s="173"/>
      <c r="BZ36" s="173"/>
      <c r="CA36" s="173"/>
      <c r="CB36" s="173"/>
      <c r="CC36" s="173"/>
      <c r="CD36" s="173"/>
      <c r="CE36" s="173"/>
      <c r="CF36" s="173"/>
      <c r="CG36" s="173"/>
      <c r="CH36" s="173"/>
      <c r="CI36" s="173"/>
      <c r="CJ36" s="173"/>
      <c r="CK36" s="173"/>
      <c r="CL36" s="173"/>
      <c r="CM36" s="173"/>
      <c r="CN36" s="173"/>
      <c r="CO36" s="173"/>
      <c r="CP36" s="173"/>
      <c r="CQ36" s="173"/>
      <c r="CR36" s="173"/>
      <c r="CS36" s="173"/>
      <c r="CT36" s="173"/>
      <c r="CU36" s="173"/>
      <c r="CV36" s="173"/>
      <c r="CW36" s="173"/>
      <c r="CX36" s="173"/>
      <c r="CY36" s="173"/>
      <c r="CZ36" s="173"/>
      <c r="DA36" s="173"/>
      <c r="DB36" s="173"/>
      <c r="DC36" s="173"/>
      <c r="DD36" s="173"/>
      <c r="DE36" s="173"/>
      <c r="DF36" s="173"/>
      <c r="DG36" s="173"/>
      <c r="DH36" s="173"/>
      <c r="DI36" s="173"/>
      <c r="DJ36" s="173"/>
      <c r="DK36" s="173"/>
      <c r="DL36" s="173"/>
      <c r="DM36" s="173"/>
      <c r="DN36" s="173"/>
      <c r="DO36" s="173"/>
      <c r="DP36" s="173"/>
      <c r="DQ36" s="173"/>
      <c r="DR36" s="173"/>
      <c r="DS36" s="173"/>
      <c r="DT36" s="173"/>
      <c r="DU36" s="173"/>
      <c r="DV36" s="173"/>
      <c r="DW36" s="173"/>
      <c r="DX36" s="173"/>
      <c r="DY36" s="173"/>
      <c r="DZ36" s="173"/>
      <c r="EA36" s="173"/>
      <c r="EB36" s="173"/>
      <c r="EC36" s="173"/>
      <c r="ED36" s="173"/>
      <c r="EE36" s="173"/>
      <c r="EF36" s="173"/>
      <c r="EG36" s="173"/>
      <c r="EH36" s="173"/>
      <c r="EI36" s="173"/>
      <c r="EJ36" s="173"/>
      <c r="EK36" s="173"/>
      <c r="EL36" s="173"/>
      <c r="EM36" s="173"/>
      <c r="EN36" s="173"/>
      <c r="EO36" s="173"/>
      <c r="EP36" s="173"/>
      <c r="EQ36" s="173"/>
      <c r="ER36" s="173"/>
      <c r="ES36" s="173"/>
      <c r="ET36" s="173"/>
      <c r="EU36" s="173"/>
      <c r="EV36" s="173"/>
      <c r="EW36" s="173"/>
      <c r="EX36" s="173"/>
      <c r="EY36" s="173"/>
      <c r="EZ36" s="173"/>
      <c r="FA36" s="173"/>
      <c r="FB36" s="173"/>
      <c r="FC36" s="173"/>
      <c r="FD36" s="173"/>
      <c r="FE36" s="173"/>
      <c r="FF36" s="173"/>
      <c r="FG36" s="173"/>
      <c r="FH36" s="173"/>
      <c r="FI36" s="173"/>
      <c r="FJ36" s="173"/>
      <c r="FK36" s="173"/>
      <c r="FL36" s="173"/>
      <c r="FM36" s="173"/>
      <c r="FN36" s="173"/>
      <c r="FO36" s="173"/>
      <c r="FP36" s="173"/>
      <c r="FQ36" s="173"/>
      <c r="FR36" s="173"/>
      <c r="FS36" s="173"/>
      <c r="FT36" s="173"/>
      <c r="FU36" s="173"/>
      <c r="FV36" s="173"/>
      <c r="FW36" s="173"/>
      <c r="FX36" s="173"/>
      <c r="FY36" s="173"/>
      <c r="FZ36" s="173"/>
      <c r="GA36" s="173"/>
      <c r="GB36" s="173"/>
      <c r="GC36" s="173"/>
      <c r="GD36" s="173"/>
      <c r="GE36" s="174"/>
      <c r="GF36" s="155"/>
      <c r="GG36" s="172"/>
      <c r="GH36" s="172"/>
      <c r="GI36" s="172"/>
      <c r="GJ36" s="172"/>
      <c r="GK36" s="172"/>
      <c r="GL36" s="172"/>
      <c r="GM36" s="175">
        <v>0</v>
      </c>
      <c r="GN36" s="155"/>
      <c r="GO36" s="3">
        <v>0</v>
      </c>
      <c r="GP36" s="176" t="s">
        <v>36</v>
      </c>
      <c r="GQ36" s="176" t="s">
        <v>36</v>
      </c>
      <c r="GR36" s="176" t="s">
        <v>36</v>
      </c>
      <c r="GS36" s="161"/>
      <c r="GT36" s="3">
        <v>0</v>
      </c>
      <c r="GU36" s="3">
        <v>0</v>
      </c>
      <c r="GV36" s="155"/>
    </row>
    <row r="37" spans="1:204">
      <c r="A37" s="6"/>
      <c r="B37" s="10"/>
      <c r="C37" s="10"/>
      <c r="D37" s="172"/>
      <c r="E37" s="172"/>
      <c r="F37" s="172"/>
      <c r="G37" s="172"/>
      <c r="H37" s="172"/>
      <c r="I37" s="10"/>
      <c r="J37" s="172"/>
      <c r="K37" s="172"/>
      <c r="L37" s="172"/>
      <c r="M37" s="10"/>
      <c r="N37" s="10"/>
      <c r="O37" s="10"/>
      <c r="P37" s="6">
        <v>0</v>
      </c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  <c r="AP37" s="173"/>
      <c r="AQ37" s="173"/>
      <c r="AR37" s="173"/>
      <c r="AS37" s="173"/>
      <c r="AT37" s="173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73"/>
      <c r="BV37" s="173"/>
      <c r="BW37" s="173"/>
      <c r="BX37" s="173"/>
      <c r="BY37" s="173"/>
      <c r="BZ37" s="173"/>
      <c r="CA37" s="173"/>
      <c r="CB37" s="173"/>
      <c r="CC37" s="173"/>
      <c r="CD37" s="173"/>
      <c r="CE37" s="173"/>
      <c r="CF37" s="173"/>
      <c r="CG37" s="173"/>
      <c r="CH37" s="173"/>
      <c r="CI37" s="173"/>
      <c r="CJ37" s="173"/>
      <c r="CK37" s="173"/>
      <c r="CL37" s="173"/>
      <c r="CM37" s="173"/>
      <c r="CN37" s="173"/>
      <c r="CO37" s="173"/>
      <c r="CP37" s="173"/>
      <c r="CQ37" s="173"/>
      <c r="CR37" s="173"/>
      <c r="CS37" s="173"/>
      <c r="CT37" s="173"/>
      <c r="CU37" s="173"/>
      <c r="CV37" s="173"/>
      <c r="CW37" s="173"/>
      <c r="CX37" s="173"/>
      <c r="CY37" s="173"/>
      <c r="CZ37" s="173"/>
      <c r="DA37" s="173"/>
      <c r="DB37" s="173"/>
      <c r="DC37" s="173"/>
      <c r="DD37" s="173"/>
      <c r="DE37" s="173"/>
      <c r="DF37" s="173"/>
      <c r="DG37" s="173"/>
      <c r="DH37" s="173"/>
      <c r="DI37" s="173"/>
      <c r="DJ37" s="173"/>
      <c r="DK37" s="173"/>
      <c r="DL37" s="173"/>
      <c r="DM37" s="173"/>
      <c r="DN37" s="173"/>
      <c r="DO37" s="173"/>
      <c r="DP37" s="173"/>
      <c r="DQ37" s="173"/>
      <c r="DR37" s="173"/>
      <c r="DS37" s="173"/>
      <c r="DT37" s="173"/>
      <c r="DU37" s="173"/>
      <c r="DV37" s="173"/>
      <c r="DW37" s="173"/>
      <c r="DX37" s="173"/>
      <c r="DY37" s="173"/>
      <c r="DZ37" s="173"/>
      <c r="EA37" s="173"/>
      <c r="EB37" s="173"/>
      <c r="EC37" s="173"/>
      <c r="ED37" s="173"/>
      <c r="EE37" s="173"/>
      <c r="EF37" s="173"/>
      <c r="EG37" s="173"/>
      <c r="EH37" s="173"/>
      <c r="EI37" s="173"/>
      <c r="EJ37" s="173"/>
      <c r="EK37" s="173"/>
      <c r="EL37" s="173"/>
      <c r="EM37" s="173"/>
      <c r="EN37" s="173"/>
      <c r="EO37" s="173"/>
      <c r="EP37" s="173"/>
      <c r="EQ37" s="173"/>
      <c r="ER37" s="173"/>
      <c r="ES37" s="173"/>
      <c r="ET37" s="173"/>
      <c r="EU37" s="173"/>
      <c r="EV37" s="173"/>
      <c r="EW37" s="173"/>
      <c r="EX37" s="173"/>
      <c r="EY37" s="173"/>
      <c r="EZ37" s="173"/>
      <c r="FA37" s="173"/>
      <c r="FB37" s="173"/>
      <c r="FC37" s="173"/>
      <c r="FD37" s="173"/>
      <c r="FE37" s="173"/>
      <c r="FF37" s="173"/>
      <c r="FG37" s="173"/>
      <c r="FH37" s="173"/>
      <c r="FI37" s="173"/>
      <c r="FJ37" s="173"/>
      <c r="FK37" s="173"/>
      <c r="FL37" s="173"/>
      <c r="FM37" s="173"/>
      <c r="FN37" s="173"/>
      <c r="FO37" s="173"/>
      <c r="FP37" s="173"/>
      <c r="FQ37" s="173"/>
      <c r="FR37" s="173"/>
      <c r="FS37" s="173"/>
      <c r="FT37" s="173"/>
      <c r="FU37" s="173"/>
      <c r="FV37" s="173"/>
      <c r="FW37" s="173"/>
      <c r="FX37" s="173"/>
      <c r="FY37" s="173"/>
      <c r="FZ37" s="173"/>
      <c r="GA37" s="173"/>
      <c r="GB37" s="173"/>
      <c r="GC37" s="173"/>
      <c r="GD37" s="173"/>
      <c r="GE37" s="174"/>
      <c r="GF37" s="155"/>
      <c r="GG37" s="172"/>
      <c r="GH37" s="172"/>
      <c r="GI37" s="172"/>
      <c r="GJ37" s="172"/>
      <c r="GK37" s="172"/>
      <c r="GL37" s="172"/>
      <c r="GM37" s="175">
        <v>0</v>
      </c>
      <c r="GN37" s="155"/>
      <c r="GO37" s="3">
        <v>0</v>
      </c>
      <c r="GP37" s="176" t="s">
        <v>36</v>
      </c>
      <c r="GQ37" s="176" t="s">
        <v>36</v>
      </c>
      <c r="GR37" s="176" t="s">
        <v>36</v>
      </c>
      <c r="GS37" s="161"/>
      <c r="GT37" s="3">
        <v>0</v>
      </c>
      <c r="GU37" s="3">
        <v>0</v>
      </c>
      <c r="GV37" s="155"/>
    </row>
    <row r="38" spans="1:204">
      <c r="A38" s="6"/>
      <c r="B38" s="10"/>
      <c r="C38" s="10"/>
      <c r="D38" s="172"/>
      <c r="E38" s="172"/>
      <c r="F38" s="172"/>
      <c r="G38" s="172"/>
      <c r="H38" s="172"/>
      <c r="I38" s="10"/>
      <c r="J38" s="172"/>
      <c r="K38" s="172"/>
      <c r="L38" s="172"/>
      <c r="M38" s="10"/>
      <c r="N38" s="10"/>
      <c r="O38" s="10"/>
      <c r="P38" s="6">
        <v>0</v>
      </c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  <c r="AP38" s="173"/>
      <c r="AQ38" s="173"/>
      <c r="AR38" s="173"/>
      <c r="AS38" s="173"/>
      <c r="AT38" s="173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173"/>
      <c r="BV38" s="173"/>
      <c r="BW38" s="173"/>
      <c r="BX38" s="173"/>
      <c r="BY38" s="173"/>
      <c r="BZ38" s="173"/>
      <c r="CA38" s="173"/>
      <c r="CB38" s="173"/>
      <c r="CC38" s="173"/>
      <c r="CD38" s="173"/>
      <c r="CE38" s="173"/>
      <c r="CF38" s="173"/>
      <c r="CG38" s="173"/>
      <c r="CH38" s="173"/>
      <c r="CI38" s="173"/>
      <c r="CJ38" s="173"/>
      <c r="CK38" s="173"/>
      <c r="CL38" s="173"/>
      <c r="CM38" s="173"/>
      <c r="CN38" s="173"/>
      <c r="CO38" s="173"/>
      <c r="CP38" s="173"/>
      <c r="CQ38" s="173"/>
      <c r="CR38" s="173"/>
      <c r="CS38" s="173"/>
      <c r="CT38" s="173"/>
      <c r="CU38" s="173"/>
      <c r="CV38" s="173"/>
      <c r="CW38" s="173"/>
      <c r="CX38" s="173"/>
      <c r="CY38" s="173"/>
      <c r="CZ38" s="173"/>
      <c r="DA38" s="173"/>
      <c r="DB38" s="173"/>
      <c r="DC38" s="173"/>
      <c r="DD38" s="173"/>
      <c r="DE38" s="173"/>
      <c r="DF38" s="173"/>
      <c r="DG38" s="173"/>
      <c r="DH38" s="173"/>
      <c r="DI38" s="173"/>
      <c r="DJ38" s="173"/>
      <c r="DK38" s="173"/>
      <c r="DL38" s="173"/>
      <c r="DM38" s="173"/>
      <c r="DN38" s="173"/>
      <c r="DO38" s="173"/>
      <c r="DP38" s="173"/>
      <c r="DQ38" s="173"/>
      <c r="DR38" s="173"/>
      <c r="DS38" s="173"/>
      <c r="DT38" s="173"/>
      <c r="DU38" s="173"/>
      <c r="DV38" s="173"/>
      <c r="DW38" s="173"/>
      <c r="DX38" s="173"/>
      <c r="DY38" s="173"/>
      <c r="DZ38" s="173"/>
      <c r="EA38" s="173"/>
      <c r="EB38" s="173"/>
      <c r="EC38" s="173"/>
      <c r="ED38" s="173"/>
      <c r="EE38" s="173"/>
      <c r="EF38" s="173"/>
      <c r="EG38" s="173"/>
      <c r="EH38" s="173"/>
      <c r="EI38" s="173"/>
      <c r="EJ38" s="173"/>
      <c r="EK38" s="173"/>
      <c r="EL38" s="173"/>
      <c r="EM38" s="173"/>
      <c r="EN38" s="173"/>
      <c r="EO38" s="173"/>
      <c r="EP38" s="173"/>
      <c r="EQ38" s="173"/>
      <c r="ER38" s="173"/>
      <c r="ES38" s="173"/>
      <c r="ET38" s="173"/>
      <c r="EU38" s="173"/>
      <c r="EV38" s="173"/>
      <c r="EW38" s="173"/>
      <c r="EX38" s="173"/>
      <c r="EY38" s="173"/>
      <c r="EZ38" s="173"/>
      <c r="FA38" s="173"/>
      <c r="FB38" s="173"/>
      <c r="FC38" s="173"/>
      <c r="FD38" s="173"/>
      <c r="FE38" s="173"/>
      <c r="FF38" s="173"/>
      <c r="FG38" s="173"/>
      <c r="FH38" s="173"/>
      <c r="FI38" s="173"/>
      <c r="FJ38" s="173"/>
      <c r="FK38" s="173"/>
      <c r="FL38" s="173"/>
      <c r="FM38" s="173"/>
      <c r="FN38" s="173"/>
      <c r="FO38" s="173"/>
      <c r="FP38" s="173"/>
      <c r="FQ38" s="173"/>
      <c r="FR38" s="173"/>
      <c r="FS38" s="173"/>
      <c r="FT38" s="173"/>
      <c r="FU38" s="173"/>
      <c r="FV38" s="173"/>
      <c r="FW38" s="173"/>
      <c r="FX38" s="173"/>
      <c r="FY38" s="173"/>
      <c r="FZ38" s="173"/>
      <c r="GA38" s="173"/>
      <c r="GB38" s="173"/>
      <c r="GC38" s="173"/>
      <c r="GD38" s="173"/>
      <c r="GE38" s="174"/>
      <c r="GF38" s="155"/>
      <c r="GG38" s="172"/>
      <c r="GH38" s="172"/>
      <c r="GI38" s="172"/>
      <c r="GJ38" s="172"/>
      <c r="GK38" s="172"/>
      <c r="GL38" s="172"/>
      <c r="GM38" s="175">
        <v>0</v>
      </c>
      <c r="GN38" s="155"/>
      <c r="GO38" s="3">
        <v>0</v>
      </c>
      <c r="GP38" s="176" t="s">
        <v>36</v>
      </c>
      <c r="GQ38" s="176" t="s">
        <v>36</v>
      </c>
      <c r="GR38" s="176" t="s">
        <v>36</v>
      </c>
      <c r="GS38" s="161"/>
      <c r="GT38" s="3">
        <v>0</v>
      </c>
      <c r="GU38" s="3">
        <v>0</v>
      </c>
      <c r="GV38" s="155"/>
    </row>
    <row r="39" spans="1:204">
      <c r="A39" s="6"/>
      <c r="B39" s="10"/>
      <c r="C39" s="10"/>
      <c r="D39" s="172"/>
      <c r="E39" s="172"/>
      <c r="F39" s="172"/>
      <c r="G39" s="172"/>
      <c r="H39" s="172"/>
      <c r="I39" s="10"/>
      <c r="J39" s="172"/>
      <c r="K39" s="172"/>
      <c r="L39" s="172"/>
      <c r="M39" s="10"/>
      <c r="N39" s="10"/>
      <c r="O39" s="10"/>
      <c r="P39" s="6">
        <v>0</v>
      </c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173"/>
      <c r="BM39" s="173"/>
      <c r="BN39" s="173"/>
      <c r="BO39" s="173"/>
      <c r="BP39" s="173"/>
      <c r="BQ39" s="173"/>
      <c r="BR39" s="173"/>
      <c r="BS39" s="173"/>
      <c r="BT39" s="173"/>
      <c r="BU39" s="173"/>
      <c r="BV39" s="173"/>
      <c r="BW39" s="173"/>
      <c r="BX39" s="173"/>
      <c r="BY39" s="173"/>
      <c r="BZ39" s="173"/>
      <c r="CA39" s="173"/>
      <c r="CB39" s="173"/>
      <c r="CC39" s="173"/>
      <c r="CD39" s="173"/>
      <c r="CE39" s="173"/>
      <c r="CF39" s="173"/>
      <c r="CG39" s="173"/>
      <c r="CH39" s="173"/>
      <c r="CI39" s="173"/>
      <c r="CJ39" s="173"/>
      <c r="CK39" s="173"/>
      <c r="CL39" s="173"/>
      <c r="CM39" s="173"/>
      <c r="CN39" s="173"/>
      <c r="CO39" s="173"/>
      <c r="CP39" s="173"/>
      <c r="CQ39" s="173"/>
      <c r="CR39" s="173"/>
      <c r="CS39" s="173"/>
      <c r="CT39" s="173"/>
      <c r="CU39" s="173"/>
      <c r="CV39" s="173"/>
      <c r="CW39" s="173"/>
      <c r="CX39" s="173"/>
      <c r="CY39" s="173"/>
      <c r="CZ39" s="173"/>
      <c r="DA39" s="173"/>
      <c r="DB39" s="173"/>
      <c r="DC39" s="173"/>
      <c r="DD39" s="173"/>
      <c r="DE39" s="173"/>
      <c r="DF39" s="173"/>
      <c r="DG39" s="173"/>
      <c r="DH39" s="173"/>
      <c r="DI39" s="173"/>
      <c r="DJ39" s="173"/>
      <c r="DK39" s="173"/>
      <c r="DL39" s="173"/>
      <c r="DM39" s="173"/>
      <c r="DN39" s="173"/>
      <c r="DO39" s="173"/>
      <c r="DP39" s="173"/>
      <c r="DQ39" s="173"/>
      <c r="DR39" s="173"/>
      <c r="DS39" s="173"/>
      <c r="DT39" s="173"/>
      <c r="DU39" s="173"/>
      <c r="DV39" s="173"/>
      <c r="DW39" s="173"/>
      <c r="DX39" s="173"/>
      <c r="DY39" s="173"/>
      <c r="DZ39" s="173"/>
      <c r="EA39" s="173"/>
      <c r="EB39" s="173"/>
      <c r="EC39" s="173"/>
      <c r="ED39" s="173"/>
      <c r="EE39" s="173"/>
      <c r="EF39" s="173"/>
      <c r="EG39" s="173"/>
      <c r="EH39" s="173"/>
      <c r="EI39" s="173"/>
      <c r="EJ39" s="173"/>
      <c r="EK39" s="173"/>
      <c r="EL39" s="173"/>
      <c r="EM39" s="173"/>
      <c r="EN39" s="173"/>
      <c r="EO39" s="173"/>
      <c r="EP39" s="173"/>
      <c r="EQ39" s="173"/>
      <c r="ER39" s="173"/>
      <c r="ES39" s="173"/>
      <c r="ET39" s="173"/>
      <c r="EU39" s="173"/>
      <c r="EV39" s="173"/>
      <c r="EW39" s="173"/>
      <c r="EX39" s="173"/>
      <c r="EY39" s="173"/>
      <c r="EZ39" s="173"/>
      <c r="FA39" s="173"/>
      <c r="FB39" s="173"/>
      <c r="FC39" s="173"/>
      <c r="FD39" s="173"/>
      <c r="FE39" s="173"/>
      <c r="FF39" s="173"/>
      <c r="FG39" s="173"/>
      <c r="FH39" s="173"/>
      <c r="FI39" s="173"/>
      <c r="FJ39" s="173"/>
      <c r="FK39" s="173"/>
      <c r="FL39" s="173"/>
      <c r="FM39" s="173"/>
      <c r="FN39" s="173"/>
      <c r="FO39" s="173"/>
      <c r="FP39" s="173"/>
      <c r="FQ39" s="173"/>
      <c r="FR39" s="173"/>
      <c r="FS39" s="173"/>
      <c r="FT39" s="173"/>
      <c r="FU39" s="173"/>
      <c r="FV39" s="173"/>
      <c r="FW39" s="173"/>
      <c r="FX39" s="173"/>
      <c r="FY39" s="173"/>
      <c r="FZ39" s="173"/>
      <c r="GA39" s="173"/>
      <c r="GB39" s="173"/>
      <c r="GC39" s="173"/>
      <c r="GD39" s="173"/>
      <c r="GE39" s="174"/>
      <c r="GF39" s="155"/>
      <c r="GG39" s="172"/>
      <c r="GH39" s="172"/>
      <c r="GI39" s="172"/>
      <c r="GJ39" s="172"/>
      <c r="GK39" s="172"/>
      <c r="GL39" s="172"/>
      <c r="GM39" s="175">
        <v>0</v>
      </c>
      <c r="GN39" s="155"/>
      <c r="GO39" s="3">
        <v>0</v>
      </c>
      <c r="GP39" s="176" t="s">
        <v>36</v>
      </c>
      <c r="GQ39" s="176" t="s">
        <v>36</v>
      </c>
      <c r="GR39" s="176" t="s">
        <v>36</v>
      </c>
      <c r="GS39" s="161"/>
      <c r="GT39" s="3">
        <v>0</v>
      </c>
      <c r="GU39" s="3">
        <v>0</v>
      </c>
      <c r="GV39" s="155"/>
    </row>
    <row r="40" spans="1:204">
      <c r="A40" s="6"/>
      <c r="B40" s="10"/>
      <c r="C40" s="10"/>
      <c r="D40" s="172"/>
      <c r="E40" s="172"/>
      <c r="F40" s="172"/>
      <c r="G40" s="172"/>
      <c r="H40" s="172"/>
      <c r="I40" s="10"/>
      <c r="J40" s="172"/>
      <c r="K40" s="172"/>
      <c r="L40" s="172"/>
      <c r="M40" s="10"/>
      <c r="N40" s="10"/>
      <c r="O40" s="10"/>
      <c r="P40" s="6">
        <v>0</v>
      </c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3"/>
      <c r="AL40" s="173"/>
      <c r="AM40" s="173"/>
      <c r="AN40" s="173"/>
      <c r="AO40" s="173"/>
      <c r="AP40" s="173"/>
      <c r="AQ40" s="173"/>
      <c r="AR40" s="173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173"/>
      <c r="BM40" s="173"/>
      <c r="BN40" s="173"/>
      <c r="BO40" s="173"/>
      <c r="BP40" s="173"/>
      <c r="BQ40" s="173"/>
      <c r="BR40" s="173"/>
      <c r="BS40" s="173"/>
      <c r="BT40" s="173"/>
      <c r="BU40" s="173"/>
      <c r="BV40" s="173"/>
      <c r="BW40" s="173"/>
      <c r="BX40" s="173"/>
      <c r="BY40" s="173"/>
      <c r="BZ40" s="173"/>
      <c r="CA40" s="173"/>
      <c r="CB40" s="173"/>
      <c r="CC40" s="173"/>
      <c r="CD40" s="173"/>
      <c r="CE40" s="173"/>
      <c r="CF40" s="173"/>
      <c r="CG40" s="173"/>
      <c r="CH40" s="173"/>
      <c r="CI40" s="173"/>
      <c r="CJ40" s="173"/>
      <c r="CK40" s="173"/>
      <c r="CL40" s="173"/>
      <c r="CM40" s="173"/>
      <c r="CN40" s="173"/>
      <c r="CO40" s="173"/>
      <c r="CP40" s="173"/>
      <c r="CQ40" s="173"/>
      <c r="CR40" s="173"/>
      <c r="CS40" s="173"/>
      <c r="CT40" s="173"/>
      <c r="CU40" s="173"/>
      <c r="CV40" s="173"/>
      <c r="CW40" s="173"/>
      <c r="CX40" s="173"/>
      <c r="CY40" s="173"/>
      <c r="CZ40" s="173"/>
      <c r="DA40" s="173"/>
      <c r="DB40" s="173"/>
      <c r="DC40" s="173"/>
      <c r="DD40" s="173"/>
      <c r="DE40" s="173"/>
      <c r="DF40" s="173"/>
      <c r="DG40" s="173"/>
      <c r="DH40" s="173"/>
      <c r="DI40" s="173"/>
      <c r="DJ40" s="173"/>
      <c r="DK40" s="173"/>
      <c r="DL40" s="173"/>
      <c r="DM40" s="173"/>
      <c r="DN40" s="173"/>
      <c r="DO40" s="173"/>
      <c r="DP40" s="173"/>
      <c r="DQ40" s="173"/>
      <c r="DR40" s="173"/>
      <c r="DS40" s="173"/>
      <c r="DT40" s="173"/>
      <c r="DU40" s="173"/>
      <c r="DV40" s="173"/>
      <c r="DW40" s="173"/>
      <c r="DX40" s="173"/>
      <c r="DY40" s="173"/>
      <c r="DZ40" s="173"/>
      <c r="EA40" s="173"/>
      <c r="EB40" s="173"/>
      <c r="EC40" s="173"/>
      <c r="ED40" s="173"/>
      <c r="EE40" s="173"/>
      <c r="EF40" s="173"/>
      <c r="EG40" s="173"/>
      <c r="EH40" s="173"/>
      <c r="EI40" s="173"/>
      <c r="EJ40" s="173"/>
      <c r="EK40" s="173"/>
      <c r="EL40" s="173"/>
      <c r="EM40" s="173"/>
      <c r="EN40" s="173"/>
      <c r="EO40" s="173"/>
      <c r="EP40" s="173"/>
      <c r="EQ40" s="173"/>
      <c r="ER40" s="173"/>
      <c r="ES40" s="173"/>
      <c r="ET40" s="173"/>
      <c r="EU40" s="173"/>
      <c r="EV40" s="173"/>
      <c r="EW40" s="173"/>
      <c r="EX40" s="173"/>
      <c r="EY40" s="173"/>
      <c r="EZ40" s="173"/>
      <c r="FA40" s="173"/>
      <c r="FB40" s="173"/>
      <c r="FC40" s="173"/>
      <c r="FD40" s="173"/>
      <c r="FE40" s="173"/>
      <c r="FF40" s="173"/>
      <c r="FG40" s="173"/>
      <c r="FH40" s="173"/>
      <c r="FI40" s="173"/>
      <c r="FJ40" s="173"/>
      <c r="FK40" s="173"/>
      <c r="FL40" s="173"/>
      <c r="FM40" s="173"/>
      <c r="FN40" s="173"/>
      <c r="FO40" s="173"/>
      <c r="FP40" s="173"/>
      <c r="FQ40" s="173"/>
      <c r="FR40" s="173"/>
      <c r="FS40" s="173"/>
      <c r="FT40" s="173"/>
      <c r="FU40" s="173"/>
      <c r="FV40" s="173"/>
      <c r="FW40" s="173"/>
      <c r="FX40" s="173"/>
      <c r="FY40" s="173"/>
      <c r="FZ40" s="173"/>
      <c r="GA40" s="173"/>
      <c r="GB40" s="173"/>
      <c r="GC40" s="173"/>
      <c r="GD40" s="173"/>
      <c r="GE40" s="174"/>
      <c r="GF40" s="155"/>
      <c r="GG40" s="172"/>
      <c r="GH40" s="172"/>
      <c r="GI40" s="172"/>
      <c r="GJ40" s="172"/>
      <c r="GK40" s="172"/>
      <c r="GL40" s="172"/>
      <c r="GM40" s="175">
        <v>0</v>
      </c>
      <c r="GN40" s="155"/>
      <c r="GO40" s="3">
        <v>0</v>
      </c>
      <c r="GP40" s="176" t="s">
        <v>36</v>
      </c>
      <c r="GQ40" s="176" t="s">
        <v>36</v>
      </c>
      <c r="GR40" s="176" t="s">
        <v>36</v>
      </c>
      <c r="GS40" s="161"/>
      <c r="GT40" s="3">
        <v>0</v>
      </c>
      <c r="GU40" s="3">
        <v>0</v>
      </c>
      <c r="GV40" s="155"/>
    </row>
    <row r="41" spans="1:204">
      <c r="A41" s="6"/>
      <c r="B41" s="10"/>
      <c r="C41" s="10"/>
      <c r="D41" s="172"/>
      <c r="E41" s="172"/>
      <c r="F41" s="172"/>
      <c r="G41" s="172"/>
      <c r="H41" s="172"/>
      <c r="I41" s="10"/>
      <c r="J41" s="172"/>
      <c r="K41" s="172"/>
      <c r="L41" s="172"/>
      <c r="M41" s="10"/>
      <c r="N41" s="10"/>
      <c r="O41" s="10"/>
      <c r="P41" s="6">
        <v>0</v>
      </c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3"/>
      <c r="AL41" s="173"/>
      <c r="AM41" s="173"/>
      <c r="AN41" s="173"/>
      <c r="AO41" s="173"/>
      <c r="AP41" s="173"/>
      <c r="AQ41" s="173"/>
      <c r="AR41" s="173"/>
      <c r="AS41" s="173"/>
      <c r="AT41" s="173"/>
      <c r="AU41" s="173"/>
      <c r="AV41" s="173"/>
      <c r="AW41" s="173"/>
      <c r="AX41" s="173"/>
      <c r="AY41" s="173"/>
      <c r="AZ41" s="173"/>
      <c r="BA41" s="173"/>
      <c r="BB41" s="173"/>
      <c r="BC41" s="173"/>
      <c r="BD41" s="173"/>
      <c r="BE41" s="173"/>
      <c r="BF41" s="173"/>
      <c r="BG41" s="173"/>
      <c r="BH41" s="173"/>
      <c r="BI41" s="173"/>
      <c r="BJ41" s="173"/>
      <c r="BK41" s="173"/>
      <c r="BL41" s="173"/>
      <c r="BM41" s="173"/>
      <c r="BN41" s="173"/>
      <c r="BO41" s="173"/>
      <c r="BP41" s="173"/>
      <c r="BQ41" s="173"/>
      <c r="BR41" s="173"/>
      <c r="BS41" s="173"/>
      <c r="BT41" s="173"/>
      <c r="BU41" s="173"/>
      <c r="BV41" s="173"/>
      <c r="BW41" s="173"/>
      <c r="BX41" s="173"/>
      <c r="BY41" s="173"/>
      <c r="BZ41" s="173"/>
      <c r="CA41" s="173"/>
      <c r="CB41" s="173"/>
      <c r="CC41" s="173"/>
      <c r="CD41" s="173"/>
      <c r="CE41" s="173"/>
      <c r="CF41" s="173"/>
      <c r="CG41" s="173"/>
      <c r="CH41" s="173"/>
      <c r="CI41" s="173"/>
      <c r="CJ41" s="173"/>
      <c r="CK41" s="173"/>
      <c r="CL41" s="173"/>
      <c r="CM41" s="173"/>
      <c r="CN41" s="173"/>
      <c r="CO41" s="173"/>
      <c r="CP41" s="173"/>
      <c r="CQ41" s="173"/>
      <c r="CR41" s="173"/>
      <c r="CS41" s="173"/>
      <c r="CT41" s="173"/>
      <c r="CU41" s="173"/>
      <c r="CV41" s="173"/>
      <c r="CW41" s="173"/>
      <c r="CX41" s="173"/>
      <c r="CY41" s="173"/>
      <c r="CZ41" s="173"/>
      <c r="DA41" s="173"/>
      <c r="DB41" s="173"/>
      <c r="DC41" s="173"/>
      <c r="DD41" s="173"/>
      <c r="DE41" s="173"/>
      <c r="DF41" s="173"/>
      <c r="DG41" s="173"/>
      <c r="DH41" s="173"/>
      <c r="DI41" s="173"/>
      <c r="DJ41" s="173"/>
      <c r="DK41" s="173"/>
      <c r="DL41" s="173"/>
      <c r="DM41" s="173"/>
      <c r="DN41" s="173"/>
      <c r="DO41" s="173"/>
      <c r="DP41" s="173"/>
      <c r="DQ41" s="173"/>
      <c r="DR41" s="173"/>
      <c r="DS41" s="173"/>
      <c r="DT41" s="173"/>
      <c r="DU41" s="173"/>
      <c r="DV41" s="173"/>
      <c r="DW41" s="173"/>
      <c r="DX41" s="173"/>
      <c r="DY41" s="173"/>
      <c r="DZ41" s="173"/>
      <c r="EA41" s="173"/>
      <c r="EB41" s="173"/>
      <c r="EC41" s="173"/>
      <c r="ED41" s="173"/>
      <c r="EE41" s="173"/>
      <c r="EF41" s="173"/>
      <c r="EG41" s="173"/>
      <c r="EH41" s="173"/>
      <c r="EI41" s="173"/>
      <c r="EJ41" s="173"/>
      <c r="EK41" s="173"/>
      <c r="EL41" s="173"/>
      <c r="EM41" s="173"/>
      <c r="EN41" s="173"/>
      <c r="EO41" s="173"/>
      <c r="EP41" s="173"/>
      <c r="EQ41" s="173"/>
      <c r="ER41" s="173"/>
      <c r="ES41" s="173"/>
      <c r="ET41" s="173"/>
      <c r="EU41" s="173"/>
      <c r="EV41" s="173"/>
      <c r="EW41" s="173"/>
      <c r="EX41" s="173"/>
      <c r="EY41" s="173"/>
      <c r="EZ41" s="173"/>
      <c r="FA41" s="173"/>
      <c r="FB41" s="173"/>
      <c r="FC41" s="173"/>
      <c r="FD41" s="173"/>
      <c r="FE41" s="173"/>
      <c r="FF41" s="173"/>
      <c r="FG41" s="173"/>
      <c r="FH41" s="173"/>
      <c r="FI41" s="173"/>
      <c r="FJ41" s="173"/>
      <c r="FK41" s="173"/>
      <c r="FL41" s="173"/>
      <c r="FM41" s="173"/>
      <c r="FN41" s="173"/>
      <c r="FO41" s="173"/>
      <c r="FP41" s="173"/>
      <c r="FQ41" s="173"/>
      <c r="FR41" s="173"/>
      <c r="FS41" s="173"/>
      <c r="FT41" s="173"/>
      <c r="FU41" s="173"/>
      <c r="FV41" s="173"/>
      <c r="FW41" s="173"/>
      <c r="FX41" s="173"/>
      <c r="FY41" s="173"/>
      <c r="FZ41" s="173"/>
      <c r="GA41" s="173"/>
      <c r="GB41" s="173"/>
      <c r="GC41" s="173"/>
      <c r="GD41" s="173"/>
      <c r="GE41" s="174"/>
      <c r="GF41" s="155"/>
      <c r="GG41" s="172"/>
      <c r="GH41" s="172"/>
      <c r="GI41" s="172"/>
      <c r="GJ41" s="172"/>
      <c r="GK41" s="172"/>
      <c r="GL41" s="172"/>
      <c r="GM41" s="175">
        <v>0</v>
      </c>
      <c r="GN41" s="155"/>
      <c r="GO41" s="3">
        <v>0</v>
      </c>
      <c r="GP41" s="176" t="s">
        <v>36</v>
      </c>
      <c r="GQ41" s="176" t="s">
        <v>36</v>
      </c>
      <c r="GR41" s="176" t="s">
        <v>36</v>
      </c>
      <c r="GS41" s="161"/>
      <c r="GT41" s="3">
        <v>0</v>
      </c>
      <c r="GU41" s="3">
        <v>0</v>
      </c>
      <c r="GV41" s="155"/>
    </row>
    <row r="42" spans="1:204">
      <c r="A42" s="6"/>
      <c r="B42" s="10"/>
      <c r="C42" s="10"/>
      <c r="D42" s="172"/>
      <c r="E42" s="172"/>
      <c r="F42" s="172"/>
      <c r="G42" s="172"/>
      <c r="H42" s="172"/>
      <c r="I42" s="10"/>
      <c r="J42" s="172"/>
      <c r="K42" s="172"/>
      <c r="L42" s="172"/>
      <c r="M42" s="10"/>
      <c r="N42" s="10"/>
      <c r="O42" s="10"/>
      <c r="P42" s="6">
        <v>0</v>
      </c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73"/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73"/>
      <c r="BV42" s="173"/>
      <c r="BW42" s="173"/>
      <c r="BX42" s="173"/>
      <c r="BY42" s="173"/>
      <c r="BZ42" s="173"/>
      <c r="CA42" s="173"/>
      <c r="CB42" s="173"/>
      <c r="CC42" s="173"/>
      <c r="CD42" s="173"/>
      <c r="CE42" s="173"/>
      <c r="CF42" s="173"/>
      <c r="CG42" s="173"/>
      <c r="CH42" s="173"/>
      <c r="CI42" s="173"/>
      <c r="CJ42" s="173"/>
      <c r="CK42" s="173"/>
      <c r="CL42" s="173"/>
      <c r="CM42" s="173"/>
      <c r="CN42" s="173"/>
      <c r="CO42" s="173"/>
      <c r="CP42" s="173"/>
      <c r="CQ42" s="173"/>
      <c r="CR42" s="173"/>
      <c r="CS42" s="173"/>
      <c r="CT42" s="173"/>
      <c r="CU42" s="173"/>
      <c r="CV42" s="173"/>
      <c r="CW42" s="173"/>
      <c r="CX42" s="173"/>
      <c r="CY42" s="173"/>
      <c r="CZ42" s="173"/>
      <c r="DA42" s="173"/>
      <c r="DB42" s="173"/>
      <c r="DC42" s="173"/>
      <c r="DD42" s="173"/>
      <c r="DE42" s="173"/>
      <c r="DF42" s="173"/>
      <c r="DG42" s="173"/>
      <c r="DH42" s="173"/>
      <c r="DI42" s="173"/>
      <c r="DJ42" s="173"/>
      <c r="DK42" s="173"/>
      <c r="DL42" s="173"/>
      <c r="DM42" s="173"/>
      <c r="DN42" s="173"/>
      <c r="DO42" s="173"/>
      <c r="DP42" s="173"/>
      <c r="DQ42" s="173"/>
      <c r="DR42" s="173"/>
      <c r="DS42" s="173"/>
      <c r="DT42" s="173"/>
      <c r="DU42" s="173"/>
      <c r="DV42" s="173"/>
      <c r="DW42" s="173"/>
      <c r="DX42" s="173"/>
      <c r="DY42" s="173"/>
      <c r="DZ42" s="173"/>
      <c r="EA42" s="173"/>
      <c r="EB42" s="173"/>
      <c r="EC42" s="173"/>
      <c r="ED42" s="173"/>
      <c r="EE42" s="173"/>
      <c r="EF42" s="173"/>
      <c r="EG42" s="173"/>
      <c r="EH42" s="173"/>
      <c r="EI42" s="173"/>
      <c r="EJ42" s="173"/>
      <c r="EK42" s="173"/>
      <c r="EL42" s="173"/>
      <c r="EM42" s="173"/>
      <c r="EN42" s="173"/>
      <c r="EO42" s="173"/>
      <c r="EP42" s="173"/>
      <c r="EQ42" s="173"/>
      <c r="ER42" s="173"/>
      <c r="ES42" s="173"/>
      <c r="ET42" s="173"/>
      <c r="EU42" s="173"/>
      <c r="EV42" s="173"/>
      <c r="EW42" s="173"/>
      <c r="EX42" s="173"/>
      <c r="EY42" s="173"/>
      <c r="EZ42" s="173"/>
      <c r="FA42" s="173"/>
      <c r="FB42" s="173"/>
      <c r="FC42" s="173"/>
      <c r="FD42" s="173"/>
      <c r="FE42" s="173"/>
      <c r="FF42" s="173"/>
      <c r="FG42" s="173"/>
      <c r="FH42" s="173"/>
      <c r="FI42" s="173"/>
      <c r="FJ42" s="173"/>
      <c r="FK42" s="173"/>
      <c r="FL42" s="173"/>
      <c r="FM42" s="173"/>
      <c r="FN42" s="173"/>
      <c r="FO42" s="173"/>
      <c r="FP42" s="173"/>
      <c r="FQ42" s="173"/>
      <c r="FR42" s="173"/>
      <c r="FS42" s="173"/>
      <c r="FT42" s="173"/>
      <c r="FU42" s="173"/>
      <c r="FV42" s="173"/>
      <c r="FW42" s="173"/>
      <c r="FX42" s="173"/>
      <c r="FY42" s="173"/>
      <c r="FZ42" s="173"/>
      <c r="GA42" s="173"/>
      <c r="GB42" s="173"/>
      <c r="GC42" s="173"/>
      <c r="GD42" s="173"/>
      <c r="GE42" s="174"/>
      <c r="GF42" s="155"/>
      <c r="GG42" s="172"/>
      <c r="GH42" s="172"/>
      <c r="GI42" s="172"/>
      <c r="GJ42" s="172"/>
      <c r="GK42" s="172"/>
      <c r="GL42" s="172"/>
      <c r="GM42" s="175">
        <v>0</v>
      </c>
      <c r="GN42" s="155"/>
      <c r="GO42" s="3">
        <v>0</v>
      </c>
      <c r="GP42" s="176" t="s">
        <v>36</v>
      </c>
      <c r="GQ42" s="176" t="s">
        <v>36</v>
      </c>
      <c r="GR42" s="176" t="s">
        <v>36</v>
      </c>
      <c r="GS42" s="161"/>
      <c r="GT42" s="3">
        <v>0</v>
      </c>
      <c r="GU42" s="3">
        <v>0</v>
      </c>
      <c r="GV42" s="155"/>
    </row>
    <row r="43" spans="1:204"/>
    <row r="44" spans="1:204" hidden="1"/>
    <row r="45" spans="1:204" hidden="1"/>
    <row r="46" spans="1:204" hidden="1"/>
    <row r="47" spans="1:204" hidden="1"/>
    <row r="48" spans="1:204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</sheetData>
  <mergeCells count="2">
    <mergeCell ref="GO8:GR11"/>
    <mergeCell ref="GT8:GU11"/>
  </mergeCells>
  <conditionalFormatting sqref="Q16:GE42">
    <cfRule type="cellIs" dxfId="48" priority="17" operator="greaterThan">
      <formula>0</formula>
    </cfRule>
  </conditionalFormatting>
  <conditionalFormatting sqref="GT12">
    <cfRule type="cellIs" dxfId="47" priority="15" stopIfTrue="1" operator="greaterThan">
      <formula>0</formula>
    </cfRule>
    <cfRule type="cellIs" dxfId="46" priority="16" stopIfTrue="1" operator="lessThan">
      <formula>0</formula>
    </cfRule>
  </conditionalFormatting>
  <conditionalFormatting sqref="GU12">
    <cfRule type="cellIs" dxfId="45" priority="13" stopIfTrue="1" operator="greaterThan">
      <formula>0</formula>
    </cfRule>
    <cfRule type="cellIs" dxfId="44" priority="14" stopIfTrue="1" operator="lessThan">
      <formula>0</formula>
    </cfRule>
  </conditionalFormatting>
  <conditionalFormatting sqref="G1">
    <cfRule type="cellIs" dxfId="43" priority="11" stopIfTrue="1" operator="greaterThan">
      <formula>0</formula>
    </cfRule>
    <cfRule type="cellIs" dxfId="42" priority="12" stopIfTrue="1" operator="lessThan">
      <formula>0</formula>
    </cfRule>
  </conditionalFormatting>
  <conditionalFormatting sqref="GP16:GP42">
    <cfRule type="cellIs" dxfId="41" priority="10" stopIfTrue="1" operator="equal">
      <formula>"Y"</formula>
    </cfRule>
  </conditionalFormatting>
  <conditionalFormatting sqref="GQ16:GR42">
    <cfRule type="cellIs" dxfId="40" priority="9" stopIfTrue="1" operator="equal">
      <formula>"Y"</formula>
    </cfRule>
  </conditionalFormatting>
  <conditionalFormatting sqref="GO16:GO42">
    <cfRule type="cellIs" dxfId="39" priority="7" stopIfTrue="1" operator="greaterThan">
      <formula>0</formula>
    </cfRule>
    <cfRule type="cellIs" dxfId="38" priority="8" stopIfTrue="1" operator="lessThan">
      <formula>0</formula>
    </cfRule>
  </conditionalFormatting>
  <conditionalFormatting sqref="GO12:GR12">
    <cfRule type="cellIs" dxfId="37" priority="5" stopIfTrue="1" operator="greaterThan">
      <formula>0</formula>
    </cfRule>
    <cfRule type="cellIs" dxfId="36" priority="6" stopIfTrue="1" operator="lessThan">
      <formula>0</formula>
    </cfRule>
  </conditionalFormatting>
  <conditionalFormatting sqref="GT16:GT42">
    <cfRule type="cellIs" dxfId="35" priority="3" stopIfTrue="1" operator="greaterThan">
      <formula>0</formula>
    </cfRule>
    <cfRule type="cellIs" dxfId="34" priority="4" stopIfTrue="1" operator="lessThan">
      <formula>0</formula>
    </cfRule>
  </conditionalFormatting>
  <conditionalFormatting sqref="GU16:GU42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dataValidations count="13">
    <dataValidation type="list" allowBlank="1" showInputMessage="1" showErrorMessage="1" sqref="K16:K42">
      <formula1>CostNAme</formula1>
    </dataValidation>
    <dataValidation type="list" allowBlank="1" showInputMessage="1" showErrorMessage="1" sqref="L16:L42">
      <formula1>ModelStage</formula1>
    </dataValidation>
    <dataValidation type="list" allowBlank="1" showInputMessage="1" showErrorMessage="1" sqref="J16:J42">
      <formula1>CostClass</formula1>
    </dataValidation>
    <dataValidation type="list" allowBlank="1" showInputMessage="1" showErrorMessage="1" sqref="GJ16:GJ42">
      <formula1>P_A</formula1>
    </dataValidation>
    <dataValidation type="list" allowBlank="1" showInputMessage="1" showErrorMessage="1" sqref="GK16:GK42">
      <formula1>Accounting</formula1>
    </dataValidation>
    <dataValidation type="list" allowBlank="1" showInputMessage="1" showErrorMessage="1" sqref="GG16:GG42">
      <formula1>CapitalYears</formula1>
    </dataValidation>
    <dataValidation type="list" allowBlank="1" showInputMessage="1" showErrorMessage="1" sqref="GL16:GL42">
      <formula1>PaymentType</formula1>
    </dataValidation>
    <dataValidation type="list" allowBlank="1" showInputMessage="1" showErrorMessage="1" sqref="GI16:GI42">
      <formula1>"Opex, Capex"</formula1>
    </dataValidation>
    <dataValidation type="list" allowBlank="1" showInputMessage="1" showErrorMessage="1" sqref="GH16:GH42">
      <formula1>Margins</formula1>
    </dataValidation>
    <dataValidation type="list" allowBlank="1" showInputMessage="1" showErrorMessage="1" sqref="H16:H42">
      <formula1>ServiceLine</formula1>
    </dataValidation>
    <dataValidation type="list" allowBlank="1" showInputMessage="1" showErrorMessage="1" sqref="F16:G42">
      <formula1>CU</formula1>
    </dataValidation>
    <dataValidation type="list" allowBlank="1" showInputMessage="1" showErrorMessage="1" sqref="E16:E42">
      <formula1>CostType</formula1>
    </dataValidation>
    <dataValidation type="list" allowBlank="1" showInputMessage="1" showErrorMessage="1" sqref="D16:D42">
      <formula1>CostPhase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P28"/>
  <sheetViews>
    <sheetView showGridLines="0" topLeftCell="C2" zoomScale="90" zoomScaleNormal="90" workbookViewId="0">
      <selection activeCell="U25" sqref="U25"/>
    </sheetView>
  </sheetViews>
  <sheetFormatPr defaultRowHeight="15"/>
  <cols>
    <col min="1" max="1" width="1.7109375" customWidth="1"/>
    <col min="2" max="3" width="4.85546875" customWidth="1"/>
    <col min="4" max="4" width="5.7109375" customWidth="1"/>
    <col min="5" max="5" width="25" bestFit="1" customWidth="1"/>
    <col min="6" max="6" width="9.5703125" bestFit="1" customWidth="1"/>
    <col min="7" max="8" width="8.7109375" bestFit="1" customWidth="1"/>
    <col min="9" max="9" width="3.85546875" customWidth="1"/>
    <col min="10" max="10" width="1.85546875" customWidth="1"/>
    <col min="11" max="11" width="3.140625" customWidth="1"/>
    <col min="12" max="12" width="25" bestFit="1" customWidth="1"/>
    <col min="13" max="13" width="9.5703125" bestFit="1" customWidth="1"/>
    <col min="14" max="15" width="6.28515625" bestFit="1" customWidth="1"/>
    <col min="16" max="16" width="4.140625" customWidth="1"/>
  </cols>
  <sheetData>
    <row r="2" spans="4:16" ht="15.75" thickBot="1">
      <c r="D2" s="93" t="s">
        <v>244</v>
      </c>
      <c r="K2" s="93" t="s">
        <v>240</v>
      </c>
    </row>
    <row r="3" spans="4:16">
      <c r="D3" s="78"/>
      <c r="E3" s="94"/>
      <c r="F3" s="79"/>
      <c r="G3" s="79"/>
      <c r="H3" s="79"/>
      <c r="I3" s="80"/>
      <c r="K3" s="78"/>
      <c r="L3" s="94"/>
      <c r="M3" s="79"/>
      <c r="N3" s="79"/>
      <c r="O3" s="79"/>
      <c r="P3" s="80"/>
    </row>
    <row r="4" spans="4:16">
      <c r="D4" s="81"/>
      <c r="E4" s="100"/>
      <c r="F4" s="95" t="s">
        <v>282</v>
      </c>
      <c r="G4" s="96"/>
      <c r="H4" s="96"/>
      <c r="I4" s="85"/>
      <c r="K4" s="81"/>
      <c r="L4" s="82"/>
      <c r="M4" s="95" t="s">
        <v>282</v>
      </c>
      <c r="N4" s="96"/>
      <c r="O4" s="96"/>
      <c r="P4" s="85"/>
    </row>
    <row r="5" spans="4:16">
      <c r="D5" s="81"/>
      <c r="E5" s="100"/>
      <c r="F5" s="83" t="s">
        <v>261</v>
      </c>
      <c r="G5" s="83" t="s">
        <v>262</v>
      </c>
      <c r="H5" s="83" t="s">
        <v>263</v>
      </c>
      <c r="I5" s="85"/>
      <c r="K5" s="81"/>
      <c r="L5" s="82"/>
      <c r="M5" s="83" t="s">
        <v>261</v>
      </c>
      <c r="N5" s="83" t="s">
        <v>262</v>
      </c>
      <c r="O5" s="83" t="s">
        <v>263</v>
      </c>
      <c r="P5" s="85"/>
    </row>
    <row r="6" spans="4:16">
      <c r="D6" s="81"/>
      <c r="E6" s="76" t="s">
        <v>575</v>
      </c>
      <c r="F6" s="102">
        <f>M6</f>
        <v>69550</v>
      </c>
      <c r="G6" s="102">
        <f t="shared" ref="G6:H7" si="0">N6</f>
        <v>79552</v>
      </c>
      <c r="H6" s="102">
        <f t="shared" si="0"/>
        <v>80814</v>
      </c>
      <c r="I6" s="85"/>
      <c r="K6" s="81"/>
      <c r="L6" s="76" t="s">
        <v>575</v>
      </c>
      <c r="M6" s="106">
        <v>69550</v>
      </c>
      <c r="N6" s="106">
        <v>79552</v>
      </c>
      <c r="O6" s="106">
        <v>80814</v>
      </c>
      <c r="P6" s="85"/>
    </row>
    <row r="7" spans="4:16">
      <c r="D7" s="81"/>
      <c r="E7" s="76" t="s">
        <v>600</v>
      </c>
      <c r="F7" s="102">
        <f>M7</f>
        <v>45</v>
      </c>
      <c r="G7" s="102">
        <f t="shared" si="0"/>
        <v>46</v>
      </c>
      <c r="H7" s="102">
        <f t="shared" si="0"/>
        <v>46</v>
      </c>
      <c r="I7" s="85"/>
      <c r="K7" s="81"/>
      <c r="L7" s="76" t="s">
        <v>600</v>
      </c>
      <c r="M7" s="106">
        <v>45</v>
      </c>
      <c r="N7" s="106">
        <v>46</v>
      </c>
      <c r="O7" s="106">
        <v>46</v>
      </c>
      <c r="P7" s="85"/>
    </row>
    <row r="8" spans="4:16">
      <c r="D8" s="81"/>
      <c r="E8" s="86" t="s">
        <v>290</v>
      </c>
      <c r="F8" s="103">
        <f>F6*F7</f>
        <v>3129750</v>
      </c>
      <c r="G8" s="103">
        <f t="shared" ref="G8:H8" si="1">G6*G7</f>
        <v>3659392</v>
      </c>
      <c r="H8" s="103">
        <f t="shared" si="1"/>
        <v>3717444</v>
      </c>
      <c r="I8" s="85"/>
      <c r="K8" s="81"/>
      <c r="L8" s="82"/>
      <c r="M8" s="177"/>
      <c r="N8" s="177"/>
      <c r="O8" s="177"/>
      <c r="P8" s="85"/>
    </row>
    <row r="9" spans="4:16">
      <c r="D9" s="81"/>
      <c r="E9" s="101"/>
      <c r="F9" s="104"/>
      <c r="G9" s="104"/>
      <c r="H9" s="104"/>
      <c r="I9" s="85"/>
      <c r="K9" s="81"/>
      <c r="L9" s="82"/>
      <c r="M9" s="178" t="s">
        <v>271</v>
      </c>
      <c r="N9" s="178"/>
      <c r="O9" s="178"/>
      <c r="P9" s="85"/>
    </row>
    <row r="10" spans="4:16">
      <c r="D10" s="81"/>
      <c r="E10" s="101"/>
      <c r="F10" s="104"/>
      <c r="G10" s="104"/>
      <c r="H10" s="104"/>
      <c r="I10" s="85"/>
      <c r="K10" s="81"/>
      <c r="L10" s="82"/>
      <c r="M10" s="179" t="s">
        <v>261</v>
      </c>
      <c r="N10" s="179" t="s">
        <v>262</v>
      </c>
      <c r="O10" s="179" t="s">
        <v>263</v>
      </c>
      <c r="P10" s="85"/>
    </row>
    <row r="11" spans="4:16">
      <c r="D11" s="81"/>
      <c r="E11" s="100"/>
      <c r="F11" s="105" t="s">
        <v>271</v>
      </c>
      <c r="G11" s="105"/>
      <c r="H11" s="105"/>
      <c r="I11" s="85"/>
      <c r="K11" s="81"/>
      <c r="L11" s="76" t="s">
        <v>283</v>
      </c>
      <c r="M11" s="106">
        <v>32</v>
      </c>
      <c r="N11" s="106">
        <v>28</v>
      </c>
      <c r="O11" s="106">
        <v>26</v>
      </c>
      <c r="P11" s="85"/>
    </row>
    <row r="12" spans="4:16">
      <c r="D12" s="81"/>
      <c r="E12" s="100"/>
      <c r="F12" s="83" t="s">
        <v>261</v>
      </c>
      <c r="G12" s="83" t="s">
        <v>262</v>
      </c>
      <c r="H12" s="83" t="s">
        <v>263</v>
      </c>
      <c r="I12" s="85"/>
      <c r="K12" s="81"/>
      <c r="L12" s="76" t="s">
        <v>602</v>
      </c>
      <c r="M12" s="106">
        <v>28560</v>
      </c>
      <c r="N12" s="106">
        <v>29416.799999999999</v>
      </c>
      <c r="O12" s="106">
        <v>30299.304</v>
      </c>
      <c r="P12" s="85"/>
    </row>
    <row r="13" spans="4:16">
      <c r="D13" s="81"/>
      <c r="E13" s="76" t="s">
        <v>283</v>
      </c>
      <c r="F13" s="102">
        <f>M11</f>
        <v>32</v>
      </c>
      <c r="G13" s="102">
        <f t="shared" ref="G13:H14" si="2">N11</f>
        <v>28</v>
      </c>
      <c r="H13" s="102">
        <f t="shared" si="2"/>
        <v>26</v>
      </c>
      <c r="I13" s="85"/>
      <c r="K13" s="81"/>
      <c r="L13" s="82"/>
      <c r="M13" s="177"/>
      <c r="N13" s="177"/>
      <c r="O13" s="177"/>
      <c r="P13" s="85"/>
    </row>
    <row r="14" spans="4:16">
      <c r="D14" s="81"/>
      <c r="E14" s="76" t="s">
        <v>601</v>
      </c>
      <c r="F14" s="102">
        <f>M12</f>
        <v>28560</v>
      </c>
      <c r="G14" s="102">
        <f t="shared" si="2"/>
        <v>29416.799999999999</v>
      </c>
      <c r="H14" s="102">
        <f t="shared" si="2"/>
        <v>30299.304</v>
      </c>
      <c r="I14" s="85"/>
      <c r="K14" s="81"/>
      <c r="L14" s="82"/>
      <c r="M14" s="178" t="s">
        <v>284</v>
      </c>
      <c r="N14" s="178"/>
      <c r="O14" s="178"/>
      <c r="P14" s="85"/>
    </row>
    <row r="15" spans="4:16">
      <c r="D15" s="81"/>
      <c r="E15" s="86" t="s">
        <v>290</v>
      </c>
      <c r="F15" s="103">
        <f>F13*F14</f>
        <v>913920</v>
      </c>
      <c r="G15" s="103">
        <f t="shared" ref="G15:H15" si="3">G13*G14</f>
        <v>823670.4</v>
      </c>
      <c r="H15" s="103">
        <f t="shared" si="3"/>
        <v>787781.90399999998</v>
      </c>
      <c r="I15" s="85"/>
      <c r="K15" s="81"/>
      <c r="L15" s="82"/>
      <c r="M15" s="179" t="s">
        <v>261</v>
      </c>
      <c r="N15" s="179" t="s">
        <v>262</v>
      </c>
      <c r="O15" s="179" t="s">
        <v>263</v>
      </c>
      <c r="P15" s="85"/>
    </row>
    <row r="16" spans="4:16">
      <c r="D16" s="81"/>
      <c r="E16" s="101"/>
      <c r="F16" s="104"/>
      <c r="G16" s="104"/>
      <c r="H16" s="104"/>
      <c r="I16" s="85"/>
      <c r="K16" s="81"/>
      <c r="L16" s="76" t="s">
        <v>285</v>
      </c>
      <c r="M16" s="106">
        <v>8550</v>
      </c>
      <c r="N16" s="106">
        <v>8050</v>
      </c>
      <c r="O16" s="106">
        <v>7110</v>
      </c>
      <c r="P16" s="85"/>
    </row>
    <row r="17" spans="4:16">
      <c r="D17" s="81"/>
      <c r="E17" s="101"/>
      <c r="F17" s="104"/>
      <c r="G17" s="104"/>
      <c r="H17" s="104"/>
      <c r="I17" s="85"/>
      <c r="K17" s="81"/>
      <c r="L17" s="76" t="s">
        <v>286</v>
      </c>
      <c r="M17" s="106">
        <v>50</v>
      </c>
      <c r="N17" s="106">
        <v>51</v>
      </c>
      <c r="O17" s="106">
        <v>52</v>
      </c>
      <c r="P17" s="85"/>
    </row>
    <row r="18" spans="4:16">
      <c r="D18" s="81"/>
      <c r="E18" s="101"/>
      <c r="F18" s="104"/>
      <c r="G18" s="104"/>
      <c r="H18" s="104"/>
      <c r="I18" s="85"/>
      <c r="K18" s="81"/>
      <c r="L18" s="76"/>
      <c r="M18" s="177"/>
      <c r="N18" s="177"/>
      <c r="O18" s="177"/>
      <c r="P18" s="85"/>
    </row>
    <row r="19" spans="4:16">
      <c r="D19" s="81"/>
      <c r="E19" s="100"/>
      <c r="F19" s="105" t="s">
        <v>284</v>
      </c>
      <c r="G19" s="105"/>
      <c r="H19" s="105"/>
      <c r="I19" s="85"/>
      <c r="K19" s="81"/>
      <c r="L19" s="76" t="s">
        <v>287</v>
      </c>
      <c r="M19" s="106">
        <v>4200</v>
      </c>
      <c r="N19" s="106">
        <v>3601</v>
      </c>
      <c r="O19" s="106">
        <v>3454</v>
      </c>
      <c r="P19" s="85"/>
    </row>
    <row r="20" spans="4:16">
      <c r="D20" s="81"/>
      <c r="E20" s="100"/>
      <c r="F20" s="83" t="s">
        <v>261</v>
      </c>
      <c r="G20" s="83" t="s">
        <v>262</v>
      </c>
      <c r="H20" s="83" t="s">
        <v>263</v>
      </c>
      <c r="I20" s="85"/>
      <c r="K20" s="81"/>
      <c r="L20" s="76" t="s">
        <v>288</v>
      </c>
      <c r="M20" s="106">
        <v>120</v>
      </c>
      <c r="N20" s="106">
        <v>120</v>
      </c>
      <c r="O20" s="106">
        <v>122</v>
      </c>
      <c r="P20" s="85"/>
    </row>
    <row r="21" spans="4:16">
      <c r="D21" s="81"/>
      <c r="E21" s="76" t="s">
        <v>603</v>
      </c>
      <c r="F21" s="102">
        <f>M16</f>
        <v>8550</v>
      </c>
      <c r="G21" s="102">
        <f t="shared" ref="G21:H22" si="4">N16</f>
        <v>8050</v>
      </c>
      <c r="H21" s="102">
        <f t="shared" si="4"/>
        <v>7110</v>
      </c>
      <c r="I21" s="85"/>
      <c r="K21" s="81"/>
      <c r="L21" s="82"/>
      <c r="M21" s="82"/>
      <c r="N21" s="82"/>
      <c r="O21" s="82"/>
      <c r="P21" s="85"/>
    </row>
    <row r="22" spans="4:16">
      <c r="D22" s="81"/>
      <c r="E22" s="76" t="s">
        <v>286</v>
      </c>
      <c r="F22" s="102">
        <f>M17</f>
        <v>50</v>
      </c>
      <c r="G22" s="102">
        <f t="shared" si="4"/>
        <v>51</v>
      </c>
      <c r="H22" s="102">
        <f t="shared" si="4"/>
        <v>52</v>
      </c>
      <c r="I22" s="85"/>
      <c r="K22" s="81"/>
      <c r="L22" s="82"/>
      <c r="M22" s="82"/>
      <c r="N22" s="82"/>
      <c r="O22" s="82"/>
      <c r="P22" s="85"/>
    </row>
    <row r="23" spans="4:16">
      <c r="D23" s="81"/>
      <c r="E23" s="86" t="s">
        <v>290</v>
      </c>
      <c r="F23" s="103">
        <f t="shared" ref="F23:H23" si="5">F21*F22</f>
        <v>427500</v>
      </c>
      <c r="G23" s="103">
        <f t="shared" si="5"/>
        <v>410550</v>
      </c>
      <c r="H23" s="103">
        <f t="shared" si="5"/>
        <v>369720</v>
      </c>
      <c r="I23" s="85"/>
      <c r="K23" s="81"/>
      <c r="L23" s="82"/>
      <c r="M23" s="75"/>
      <c r="N23" s="75"/>
      <c r="O23" s="75"/>
      <c r="P23" s="85"/>
    </row>
    <row r="24" spans="4:16">
      <c r="D24" s="81"/>
      <c r="E24" s="101"/>
      <c r="F24" s="104"/>
      <c r="G24" s="104"/>
      <c r="H24" s="104"/>
      <c r="I24" s="85"/>
      <c r="K24" s="81"/>
      <c r="L24" s="82"/>
      <c r="M24" s="82"/>
      <c r="N24" s="82"/>
      <c r="O24" s="82"/>
      <c r="P24" s="85"/>
    </row>
    <row r="25" spans="4:16">
      <c r="D25" s="81"/>
      <c r="E25" s="76" t="s">
        <v>287</v>
      </c>
      <c r="F25" s="102">
        <f>M19</f>
        <v>4200</v>
      </c>
      <c r="G25" s="102">
        <f t="shared" ref="G25:H26" si="6">N19</f>
        <v>3601</v>
      </c>
      <c r="H25" s="102">
        <f t="shared" si="6"/>
        <v>3454</v>
      </c>
      <c r="I25" s="85"/>
      <c r="K25" s="81"/>
      <c r="L25" s="82"/>
      <c r="M25" s="98"/>
      <c r="N25" s="98"/>
      <c r="O25" s="98"/>
      <c r="P25" s="85"/>
    </row>
    <row r="26" spans="4:16">
      <c r="D26" s="81"/>
      <c r="E26" s="76" t="s">
        <v>288</v>
      </c>
      <c r="F26" s="102">
        <f>M20</f>
        <v>120</v>
      </c>
      <c r="G26" s="102">
        <f t="shared" si="6"/>
        <v>120</v>
      </c>
      <c r="H26" s="102">
        <f t="shared" si="6"/>
        <v>122</v>
      </c>
      <c r="I26" s="85"/>
      <c r="K26" s="81"/>
      <c r="L26" s="82"/>
      <c r="M26" s="97"/>
      <c r="N26" s="97"/>
      <c r="O26" s="97"/>
      <c r="P26" s="85"/>
    </row>
    <row r="27" spans="4:16">
      <c r="D27" s="81"/>
      <c r="E27" s="86" t="s">
        <v>290</v>
      </c>
      <c r="F27" s="103">
        <f t="shared" ref="F27:H27" si="7">F25*F26</f>
        <v>504000</v>
      </c>
      <c r="G27" s="103">
        <f t="shared" si="7"/>
        <v>432120</v>
      </c>
      <c r="H27" s="103">
        <f t="shared" si="7"/>
        <v>421388</v>
      </c>
      <c r="I27" s="85"/>
      <c r="K27" s="81"/>
      <c r="L27" s="82"/>
      <c r="M27" s="82"/>
      <c r="N27" s="82"/>
      <c r="O27" s="82"/>
      <c r="P27" s="85"/>
    </row>
    <row r="28" spans="4:16" ht="15.75" thickBot="1">
      <c r="D28" s="90"/>
      <c r="E28" s="91"/>
      <c r="F28" s="91"/>
      <c r="G28" s="91"/>
      <c r="H28" s="91"/>
      <c r="I28" s="92"/>
      <c r="K28" s="90"/>
      <c r="L28" s="91"/>
      <c r="M28" s="91"/>
      <c r="N28" s="91"/>
      <c r="O28" s="91"/>
      <c r="P28" s="92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P22"/>
  <sheetViews>
    <sheetView showGridLines="0" topLeftCell="C1" zoomScale="90" zoomScaleNormal="90" workbookViewId="0">
      <selection activeCell="T18" sqref="T18"/>
    </sheetView>
  </sheetViews>
  <sheetFormatPr defaultRowHeight="15"/>
  <cols>
    <col min="1" max="1" width="1.7109375" customWidth="1"/>
    <col min="2" max="3" width="4.85546875" customWidth="1"/>
    <col min="4" max="4" width="5.7109375" customWidth="1"/>
    <col min="5" max="5" width="7.42578125" customWidth="1"/>
    <col min="6" max="6" width="9.5703125" bestFit="1" customWidth="1"/>
    <col min="7" max="8" width="8.7109375" bestFit="1" customWidth="1"/>
    <col min="9" max="9" width="3.85546875" customWidth="1"/>
    <col min="10" max="10" width="1.85546875" customWidth="1"/>
    <col min="11" max="11" width="3.140625" customWidth="1"/>
    <col min="12" max="12" width="25.5703125" customWidth="1"/>
    <col min="13" max="13" width="9.5703125" bestFit="1" customWidth="1"/>
    <col min="14" max="15" width="6.28515625" bestFit="1" customWidth="1"/>
    <col min="16" max="16" width="4.140625" customWidth="1"/>
  </cols>
  <sheetData>
    <row r="2" spans="4:16" ht="15.75" thickBot="1">
      <c r="D2" s="93" t="s">
        <v>244</v>
      </c>
      <c r="K2" s="93" t="s">
        <v>240</v>
      </c>
    </row>
    <row r="3" spans="4:16">
      <c r="D3" s="78"/>
      <c r="E3" s="94"/>
      <c r="F3" s="79"/>
      <c r="G3" s="79"/>
      <c r="H3" s="79"/>
      <c r="I3" s="80"/>
      <c r="K3" s="78"/>
      <c r="L3" s="94"/>
      <c r="M3" s="79"/>
      <c r="N3" s="79"/>
      <c r="O3" s="79"/>
      <c r="P3" s="80"/>
    </row>
    <row r="4" spans="4:16">
      <c r="D4" s="81"/>
      <c r="E4" s="100"/>
      <c r="F4" s="95" t="s">
        <v>282</v>
      </c>
      <c r="G4" s="96"/>
      <c r="H4" s="96"/>
      <c r="I4" s="85"/>
      <c r="K4" s="81"/>
      <c r="L4" s="82"/>
      <c r="M4" s="95" t="s">
        <v>282</v>
      </c>
      <c r="N4" s="96"/>
      <c r="O4" s="96"/>
      <c r="P4" s="85"/>
    </row>
    <row r="5" spans="4:16">
      <c r="D5" s="81"/>
      <c r="E5" s="100"/>
      <c r="F5" s="83" t="s">
        <v>261</v>
      </c>
      <c r="G5" s="83" t="s">
        <v>262</v>
      </c>
      <c r="H5" s="83" t="s">
        <v>263</v>
      </c>
      <c r="I5" s="85"/>
      <c r="K5" s="81"/>
      <c r="L5" s="82"/>
      <c r="M5" s="83" t="s">
        <v>261</v>
      </c>
      <c r="N5" s="83" t="s">
        <v>262</v>
      </c>
      <c r="O5" s="83" t="s">
        <v>263</v>
      </c>
      <c r="P5" s="85"/>
    </row>
    <row r="6" spans="4:16">
      <c r="D6" s="81"/>
      <c r="E6" s="86" t="s">
        <v>290</v>
      </c>
      <c r="F6" s="103">
        <f>M6*M7</f>
        <v>3129750</v>
      </c>
      <c r="G6" s="103">
        <f>N6*N7</f>
        <v>3659392</v>
      </c>
      <c r="H6" s="103">
        <f>O6*O7</f>
        <v>3717444</v>
      </c>
      <c r="I6" s="85"/>
      <c r="K6" s="81"/>
      <c r="L6" s="76" t="s">
        <v>575</v>
      </c>
      <c r="M6" s="106">
        <v>69550</v>
      </c>
      <c r="N6" s="106">
        <v>79552</v>
      </c>
      <c r="O6" s="106">
        <v>80814</v>
      </c>
      <c r="P6" s="85"/>
    </row>
    <row r="7" spans="4:16">
      <c r="D7" s="81"/>
      <c r="I7" s="85"/>
      <c r="K7" s="81"/>
      <c r="L7" s="76" t="s">
        <v>604</v>
      </c>
      <c r="M7" s="106">
        <v>45</v>
      </c>
      <c r="N7" s="106">
        <v>46</v>
      </c>
      <c r="O7" s="106">
        <v>46</v>
      </c>
      <c r="P7" s="85"/>
    </row>
    <row r="8" spans="4:16">
      <c r="D8" s="81"/>
      <c r="I8" s="85"/>
      <c r="K8" s="81"/>
      <c r="L8" s="82"/>
      <c r="M8" s="177"/>
      <c r="N8" s="177"/>
      <c r="O8" s="177"/>
      <c r="P8" s="85"/>
    </row>
    <row r="9" spans="4:16">
      <c r="D9" s="81"/>
      <c r="E9" s="100"/>
      <c r="F9" s="105" t="s">
        <v>271</v>
      </c>
      <c r="G9" s="105"/>
      <c r="H9" s="105"/>
      <c r="I9" s="85"/>
      <c r="K9" s="81"/>
      <c r="L9" s="82"/>
      <c r="M9" s="178" t="s">
        <v>271</v>
      </c>
      <c r="N9" s="178"/>
      <c r="O9" s="178"/>
      <c r="P9" s="85"/>
    </row>
    <row r="10" spans="4:16">
      <c r="D10" s="81"/>
      <c r="E10" s="100"/>
      <c r="F10" s="83" t="s">
        <v>261</v>
      </c>
      <c r="G10" s="83" t="s">
        <v>262</v>
      </c>
      <c r="H10" s="83" t="s">
        <v>263</v>
      </c>
      <c r="I10" s="85"/>
      <c r="K10" s="81"/>
      <c r="L10" s="82"/>
      <c r="M10" s="179" t="s">
        <v>261</v>
      </c>
      <c r="N10" s="179" t="s">
        <v>262</v>
      </c>
      <c r="O10" s="179" t="s">
        <v>263</v>
      </c>
      <c r="P10" s="85"/>
    </row>
    <row r="11" spans="4:16">
      <c r="D11" s="81"/>
      <c r="E11" s="86" t="s">
        <v>290</v>
      </c>
      <c r="F11" s="103">
        <f>M11*M12</f>
        <v>913920</v>
      </c>
      <c r="G11" s="103">
        <f>N11*N12</f>
        <v>823670.4</v>
      </c>
      <c r="H11" s="103">
        <f>O11*O12</f>
        <v>787781.90399999998</v>
      </c>
      <c r="I11" s="85"/>
      <c r="K11" s="81"/>
      <c r="L11" s="76" t="s">
        <v>283</v>
      </c>
      <c r="M11" s="106">
        <v>32</v>
      </c>
      <c r="N11" s="106">
        <v>28</v>
      </c>
      <c r="O11" s="106">
        <v>26</v>
      </c>
      <c r="P11" s="85"/>
    </row>
    <row r="12" spans="4:16">
      <c r="D12" s="81"/>
      <c r="I12" s="85"/>
      <c r="K12" s="81"/>
      <c r="L12" s="76" t="s">
        <v>601</v>
      </c>
      <c r="M12" s="106">
        <v>28560</v>
      </c>
      <c r="N12" s="106">
        <v>29416.799999999999</v>
      </c>
      <c r="O12" s="106">
        <v>30299.304</v>
      </c>
      <c r="P12" s="85"/>
    </row>
    <row r="13" spans="4:16">
      <c r="D13" s="81"/>
      <c r="I13" s="85"/>
      <c r="K13" s="81"/>
      <c r="L13" s="82"/>
      <c r="M13" s="177"/>
      <c r="N13" s="177"/>
      <c r="O13" s="177"/>
      <c r="P13" s="85"/>
    </row>
    <row r="14" spans="4:16">
      <c r="D14" s="81"/>
      <c r="E14" s="100"/>
      <c r="F14" s="105" t="s">
        <v>284</v>
      </c>
      <c r="G14" s="105"/>
      <c r="H14" s="105"/>
      <c r="I14" s="85"/>
      <c r="K14" s="81"/>
      <c r="L14" s="82"/>
      <c r="M14" s="178" t="s">
        <v>284</v>
      </c>
      <c r="N14" s="178"/>
      <c r="O14" s="178"/>
      <c r="P14" s="85"/>
    </row>
    <row r="15" spans="4:16">
      <c r="D15" s="81"/>
      <c r="E15" s="100"/>
      <c r="F15" s="83" t="s">
        <v>261</v>
      </c>
      <c r="G15" s="83" t="s">
        <v>262</v>
      </c>
      <c r="H15" s="83" t="s">
        <v>263</v>
      </c>
      <c r="I15" s="85"/>
      <c r="K15" s="81"/>
      <c r="L15" s="82"/>
      <c r="M15" s="179" t="s">
        <v>261</v>
      </c>
      <c r="N15" s="179" t="s">
        <v>262</v>
      </c>
      <c r="O15" s="179" t="s">
        <v>263</v>
      </c>
      <c r="P15" s="85"/>
    </row>
    <row r="16" spans="4:16">
      <c r="D16" s="81"/>
      <c r="E16" s="86" t="s">
        <v>290</v>
      </c>
      <c r="F16" s="103">
        <f>M16*M17</f>
        <v>427500</v>
      </c>
      <c r="G16" s="103">
        <f>N16*N17</f>
        <v>410550</v>
      </c>
      <c r="H16" s="103">
        <f>O16*O17</f>
        <v>369720</v>
      </c>
      <c r="I16" s="85"/>
      <c r="K16" s="81"/>
      <c r="L16" s="76" t="s">
        <v>285</v>
      </c>
      <c r="M16" s="106">
        <v>8550</v>
      </c>
      <c r="N16" s="106">
        <v>8050</v>
      </c>
      <c r="O16" s="106">
        <v>7110</v>
      </c>
      <c r="P16" s="85"/>
    </row>
    <row r="17" spans="4:16">
      <c r="D17" s="81"/>
      <c r="I17" s="85"/>
      <c r="K17" s="81"/>
      <c r="L17" s="76" t="s">
        <v>286</v>
      </c>
      <c r="M17" s="106">
        <v>50</v>
      </c>
      <c r="N17" s="106">
        <v>51</v>
      </c>
      <c r="O17" s="106">
        <v>52</v>
      </c>
      <c r="P17" s="85"/>
    </row>
    <row r="18" spans="4:16">
      <c r="D18" s="81"/>
      <c r="E18" s="86" t="s">
        <v>290</v>
      </c>
      <c r="F18" s="103">
        <f>M20*M19</f>
        <v>504000</v>
      </c>
      <c r="G18" s="103">
        <f>N20*N19</f>
        <v>432120</v>
      </c>
      <c r="H18" s="103">
        <f>O20*O19</f>
        <v>421388</v>
      </c>
      <c r="I18" s="85"/>
      <c r="K18" s="81"/>
      <c r="L18" s="76"/>
      <c r="M18" s="177"/>
      <c r="N18" s="177"/>
      <c r="O18" s="177"/>
      <c r="P18" s="85"/>
    </row>
    <row r="19" spans="4:16">
      <c r="D19" s="81"/>
      <c r="I19" s="85"/>
      <c r="K19" s="81"/>
      <c r="L19" s="76" t="s">
        <v>287</v>
      </c>
      <c r="M19" s="106">
        <v>4200</v>
      </c>
      <c r="N19" s="106">
        <v>3601</v>
      </c>
      <c r="O19" s="106">
        <v>3454</v>
      </c>
      <c r="P19" s="85"/>
    </row>
    <row r="20" spans="4:16">
      <c r="D20" s="81"/>
      <c r="I20" s="85"/>
      <c r="K20" s="81"/>
      <c r="L20" s="76" t="s">
        <v>288</v>
      </c>
      <c r="M20" s="106">
        <v>120</v>
      </c>
      <c r="N20" s="106">
        <v>120</v>
      </c>
      <c r="O20" s="106">
        <v>122</v>
      </c>
      <c r="P20" s="85"/>
    </row>
    <row r="21" spans="4:16">
      <c r="D21" s="81"/>
      <c r="I21" s="85"/>
      <c r="K21" s="81"/>
      <c r="L21" s="82"/>
      <c r="M21" s="82"/>
      <c r="N21" s="82"/>
      <c r="O21" s="82"/>
      <c r="P21" s="85"/>
    </row>
    <row r="22" spans="4:16" ht="15.75" thickBot="1">
      <c r="D22" s="90"/>
      <c r="E22" s="91"/>
      <c r="F22" s="91"/>
      <c r="G22" s="91"/>
      <c r="H22" s="91"/>
      <c r="I22" s="92"/>
      <c r="K22" s="90"/>
      <c r="L22" s="91"/>
      <c r="M22" s="91"/>
      <c r="N22" s="91"/>
      <c r="O22" s="91"/>
      <c r="P22" s="92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U30"/>
  <sheetViews>
    <sheetView showGridLines="0" zoomScale="90" zoomScaleNormal="90" workbookViewId="0">
      <selection activeCell="P33" sqref="P33"/>
    </sheetView>
  </sheetViews>
  <sheetFormatPr defaultRowHeight="15"/>
  <cols>
    <col min="1" max="1" width="1.7109375" customWidth="1"/>
    <col min="2" max="2" width="4.5703125" customWidth="1"/>
    <col min="3" max="3" width="38.7109375" bestFit="1" customWidth="1"/>
    <col min="4" max="4" width="9.7109375" customWidth="1"/>
    <col min="5" max="5" width="10.5703125" customWidth="1"/>
    <col min="6" max="6" width="10" customWidth="1"/>
    <col min="7" max="8" width="3" customWidth="1"/>
    <col min="9" max="9" width="5.7109375" customWidth="1"/>
    <col min="10" max="10" width="24.7109375" customWidth="1"/>
    <col min="11" max="11" width="10.140625" bestFit="1" customWidth="1"/>
    <col min="12" max="12" width="11.140625" customWidth="1"/>
    <col min="13" max="13" width="11.42578125" customWidth="1"/>
    <col min="14" max="14" width="3.85546875" customWidth="1"/>
    <col min="15" max="15" width="4.140625" customWidth="1"/>
    <col min="16" max="16" width="3.140625" customWidth="1"/>
    <col min="17" max="17" width="25.28515625" customWidth="1"/>
    <col min="18" max="18" width="10.140625" bestFit="1" customWidth="1"/>
    <col min="21" max="21" width="4.140625" customWidth="1"/>
  </cols>
  <sheetData>
    <row r="2" spans="2:21" ht="15.75" thickBot="1">
      <c r="B2" s="93" t="s">
        <v>245</v>
      </c>
      <c r="I2" s="93" t="s">
        <v>244</v>
      </c>
      <c r="P2" s="93" t="s">
        <v>240</v>
      </c>
    </row>
    <row r="3" spans="2:21">
      <c r="B3" s="99" t="s">
        <v>581</v>
      </c>
      <c r="C3" s="79"/>
      <c r="D3" s="79"/>
      <c r="E3" s="79"/>
      <c r="F3" s="79"/>
      <c r="G3" s="80"/>
      <c r="I3" s="78"/>
      <c r="J3" s="94"/>
      <c r="K3" s="79"/>
      <c r="L3" s="79"/>
      <c r="M3" s="79"/>
      <c r="N3" s="80"/>
      <c r="P3" s="78"/>
      <c r="Q3" s="94"/>
      <c r="R3" s="79"/>
      <c r="S3" s="79"/>
      <c r="T3" s="79"/>
      <c r="U3" s="80"/>
    </row>
    <row r="4" spans="2:21">
      <c r="B4" s="81"/>
      <c r="C4" s="82"/>
      <c r="D4" s="82"/>
      <c r="E4" s="82"/>
      <c r="F4" s="82"/>
      <c r="G4" s="85"/>
      <c r="I4" s="81"/>
      <c r="J4" s="100"/>
      <c r="K4" s="95" t="s">
        <v>282</v>
      </c>
      <c r="L4" s="96"/>
      <c r="M4" s="96"/>
      <c r="N4" s="85"/>
      <c r="P4" s="81"/>
      <c r="Q4" s="82"/>
      <c r="R4" s="95" t="s">
        <v>282</v>
      </c>
      <c r="S4" s="96"/>
      <c r="T4" s="96"/>
      <c r="U4" s="85"/>
    </row>
    <row r="5" spans="2:21">
      <c r="B5" s="81"/>
      <c r="C5" s="82"/>
      <c r="D5" s="83" t="s">
        <v>261</v>
      </c>
      <c r="E5" s="83" t="s">
        <v>262</v>
      </c>
      <c r="F5" s="83" t="s">
        <v>263</v>
      </c>
      <c r="G5" s="84"/>
      <c r="I5" s="81"/>
      <c r="J5" s="100"/>
      <c r="K5" s="83" t="s">
        <v>261</v>
      </c>
      <c r="L5" s="83" t="s">
        <v>262</v>
      </c>
      <c r="M5" s="83" t="s">
        <v>263</v>
      </c>
      <c r="N5" s="85"/>
      <c r="P5" s="81"/>
      <c r="Q5" s="82"/>
      <c r="R5" s="83" t="s">
        <v>261</v>
      </c>
      <c r="S5" s="83" t="s">
        <v>262</v>
      </c>
      <c r="T5" s="83" t="s">
        <v>263</v>
      </c>
      <c r="U5" s="85"/>
    </row>
    <row r="6" spans="2:21">
      <c r="B6" s="81"/>
      <c r="C6" s="76" t="s">
        <v>265</v>
      </c>
      <c r="D6" s="75">
        <v>0</v>
      </c>
      <c r="E6" s="75">
        <v>-411409.90139892587</v>
      </c>
      <c r="F6" s="75">
        <v>-233984.99656588436</v>
      </c>
      <c r="G6" s="85"/>
      <c r="I6" s="81"/>
      <c r="J6" s="76" t="s">
        <v>575</v>
      </c>
      <c r="K6" s="102">
        <f>R6</f>
        <v>69550.502050644704</v>
      </c>
      <c r="L6" s="102">
        <f t="shared" ref="L6:M7" si="0">S6</f>
        <v>79552.473219214095</v>
      </c>
      <c r="M6" s="102">
        <f t="shared" si="0"/>
        <v>80814.162348084123</v>
      </c>
      <c r="N6" s="85"/>
      <c r="P6" s="81"/>
      <c r="Q6" s="76" t="s">
        <v>575</v>
      </c>
      <c r="R6" s="106">
        <v>69550.502050644704</v>
      </c>
      <c r="S6" s="106">
        <v>79552.473219214095</v>
      </c>
      <c r="T6" s="106">
        <v>80814.162348084123</v>
      </c>
      <c r="U6" s="85"/>
    </row>
    <row r="7" spans="2:21">
      <c r="B7" s="81"/>
      <c r="C7" s="86" t="s">
        <v>266</v>
      </c>
      <c r="D7" s="82"/>
      <c r="E7" s="82"/>
      <c r="F7" s="82"/>
      <c r="G7" s="85"/>
      <c r="I7" s="81"/>
      <c r="J7" s="76" t="s">
        <v>600</v>
      </c>
      <c r="K7" s="102">
        <f>R7</f>
        <v>45</v>
      </c>
      <c r="L7" s="102">
        <f t="shared" si="0"/>
        <v>46</v>
      </c>
      <c r="M7" s="102">
        <f t="shared" si="0"/>
        <v>46</v>
      </c>
      <c r="N7" s="85"/>
      <c r="P7" s="81"/>
      <c r="Q7" s="76" t="s">
        <v>600</v>
      </c>
      <c r="R7" s="106">
        <v>45</v>
      </c>
      <c r="S7" s="106">
        <v>46</v>
      </c>
      <c r="T7" s="106">
        <v>46</v>
      </c>
      <c r="U7" s="85"/>
    </row>
    <row r="8" spans="2:21">
      <c r="B8" s="81"/>
      <c r="C8" s="87" t="s">
        <v>267</v>
      </c>
      <c r="D8" s="186">
        <f>K8</f>
        <v>3129772.5922790118</v>
      </c>
      <c r="E8" s="186">
        <f t="shared" ref="E8:F8" si="1">L8</f>
        <v>3659413.7680838485</v>
      </c>
      <c r="F8" s="186">
        <f t="shared" si="1"/>
        <v>3717451.4680118696</v>
      </c>
      <c r="G8" s="85"/>
      <c r="I8" s="81"/>
      <c r="J8" s="86" t="s">
        <v>290</v>
      </c>
      <c r="K8" s="103">
        <f>K6*K7</f>
        <v>3129772.5922790118</v>
      </c>
      <c r="L8" s="103">
        <f t="shared" ref="L8:M8" si="2">L6*L7</f>
        <v>3659413.7680838485</v>
      </c>
      <c r="M8" s="103">
        <f t="shared" si="2"/>
        <v>3717451.4680118696</v>
      </c>
      <c r="N8" s="85"/>
      <c r="P8" s="81"/>
      <c r="Q8" s="82"/>
      <c r="R8" s="107"/>
      <c r="S8" s="108"/>
      <c r="T8" s="108"/>
      <c r="U8" s="85"/>
    </row>
    <row r="9" spans="2:21">
      <c r="B9" s="81"/>
      <c r="C9" s="77" t="s">
        <v>268</v>
      </c>
      <c r="D9" s="187">
        <f>SUM(D8)</f>
        <v>3129772.5922790118</v>
      </c>
      <c r="E9" s="187">
        <f t="shared" ref="E9:F9" si="3">SUM(E8)</f>
        <v>3659413.7680838485</v>
      </c>
      <c r="F9" s="187">
        <f t="shared" si="3"/>
        <v>3717451.4680118696</v>
      </c>
      <c r="G9" s="85"/>
      <c r="I9" s="81"/>
      <c r="J9" s="100"/>
      <c r="K9" s="108"/>
      <c r="L9" s="108"/>
      <c r="M9" s="108"/>
      <c r="N9" s="85"/>
      <c r="P9" s="81"/>
      <c r="Q9" s="82"/>
      <c r="R9" s="105" t="s">
        <v>271</v>
      </c>
      <c r="S9" s="105"/>
      <c r="T9" s="105"/>
      <c r="U9" s="85"/>
    </row>
    <row r="10" spans="2:21">
      <c r="B10" s="81"/>
      <c r="C10" s="88"/>
      <c r="D10" s="82"/>
      <c r="E10" s="82"/>
      <c r="F10" s="82"/>
      <c r="G10" s="85"/>
      <c r="I10" s="81"/>
      <c r="J10" s="100"/>
      <c r="K10" s="108"/>
      <c r="L10" s="108"/>
      <c r="M10" s="108"/>
      <c r="N10" s="85"/>
      <c r="P10" s="81"/>
      <c r="Q10" s="82"/>
      <c r="R10" s="83" t="s">
        <v>261</v>
      </c>
      <c r="S10" s="83" t="s">
        <v>262</v>
      </c>
      <c r="T10" s="83" t="s">
        <v>263</v>
      </c>
      <c r="U10" s="85"/>
    </row>
    <row r="11" spans="2:21">
      <c r="B11" s="81"/>
      <c r="C11" s="86" t="s">
        <v>269</v>
      </c>
      <c r="D11" s="82"/>
      <c r="E11" s="82"/>
      <c r="F11" s="82"/>
      <c r="G11" s="85"/>
      <c r="I11" s="81"/>
      <c r="J11" s="100"/>
      <c r="K11" s="105" t="s">
        <v>271</v>
      </c>
      <c r="L11" s="105"/>
      <c r="M11" s="105"/>
      <c r="N11" s="85"/>
      <c r="P11" s="81"/>
      <c r="Q11" s="76" t="s">
        <v>283</v>
      </c>
      <c r="R11" s="106">
        <v>32.616698212953111</v>
      </c>
      <c r="S11" s="106">
        <v>28.648912935236595</v>
      </c>
      <c r="T11" s="106">
        <v>26.112617973782761</v>
      </c>
      <c r="U11" s="85"/>
    </row>
    <row r="12" spans="2:21">
      <c r="B12" s="81"/>
      <c r="C12" s="87" t="s">
        <v>270</v>
      </c>
      <c r="D12" s="82"/>
      <c r="E12" s="82"/>
      <c r="F12" s="82"/>
      <c r="G12" s="85"/>
      <c r="I12" s="81"/>
      <c r="J12" s="100"/>
      <c r="K12" s="83" t="s">
        <v>261</v>
      </c>
      <c r="L12" s="83" t="s">
        <v>262</v>
      </c>
      <c r="M12" s="83" t="s">
        <v>263</v>
      </c>
      <c r="N12" s="85"/>
      <c r="P12" s="81"/>
      <c r="Q12" s="76" t="s">
        <v>601</v>
      </c>
      <c r="R12" s="106">
        <v>28560</v>
      </c>
      <c r="S12" s="106">
        <v>29416.799999999999</v>
      </c>
      <c r="T12" s="106">
        <v>30299.304</v>
      </c>
      <c r="U12" s="85"/>
    </row>
    <row r="13" spans="2:21">
      <c r="B13" s="81"/>
      <c r="C13" s="89" t="s">
        <v>271</v>
      </c>
      <c r="D13" s="188">
        <f>R11*R12</f>
        <v>931532.90096194088</v>
      </c>
      <c r="E13" s="189">
        <f t="shared" ref="E13:F13" si="4">S11*S12</f>
        <v>842759.34203326784</v>
      </c>
      <c r="F13" s="190">
        <f t="shared" si="4"/>
        <v>791194.1502235079</v>
      </c>
      <c r="G13" s="85"/>
      <c r="I13" s="81"/>
      <c r="J13" s="76" t="s">
        <v>283</v>
      </c>
      <c r="K13" s="102">
        <f>R11</f>
        <v>32.616698212953111</v>
      </c>
      <c r="L13" s="102">
        <f t="shared" ref="L13:M14" si="5">S11</f>
        <v>28.648912935236595</v>
      </c>
      <c r="M13" s="102">
        <f t="shared" si="5"/>
        <v>26.112617973782761</v>
      </c>
      <c r="N13" s="85"/>
      <c r="P13" s="81"/>
      <c r="Q13" s="82"/>
      <c r="R13" s="107"/>
      <c r="S13" s="107"/>
      <c r="T13" s="107"/>
      <c r="U13" s="85"/>
    </row>
    <row r="14" spans="2:21">
      <c r="B14" s="81"/>
      <c r="C14" s="89" t="s">
        <v>272</v>
      </c>
      <c r="D14" s="186">
        <f>K25+K29</f>
        <v>2307615.896702332</v>
      </c>
      <c r="E14" s="186">
        <f t="shared" ref="E14:F14" si="6">L25+L29</f>
        <v>2501305.8191973018</v>
      </c>
      <c r="F14" s="186">
        <f t="shared" si="6"/>
        <v>2625338.8531818087</v>
      </c>
      <c r="G14" s="85"/>
      <c r="I14" s="81"/>
      <c r="J14" s="76" t="s">
        <v>601</v>
      </c>
      <c r="K14" s="102">
        <f>R12</f>
        <v>28560</v>
      </c>
      <c r="L14" s="102">
        <f t="shared" si="5"/>
        <v>29416.799999999999</v>
      </c>
      <c r="M14" s="102">
        <f t="shared" si="5"/>
        <v>30299.304</v>
      </c>
      <c r="N14" s="85"/>
      <c r="P14" s="81"/>
      <c r="Q14" s="82"/>
      <c r="R14" s="105" t="s">
        <v>284</v>
      </c>
      <c r="S14" s="105"/>
      <c r="T14" s="105"/>
      <c r="U14" s="85"/>
    </row>
    <row r="15" spans="2:21">
      <c r="B15" s="81"/>
      <c r="C15" s="77" t="s">
        <v>277</v>
      </c>
      <c r="D15" s="187">
        <f>SUM(D13:D14)</f>
        <v>3239148.7976642726</v>
      </c>
      <c r="E15" s="187">
        <f t="shared" ref="E15:F15" si="7">SUM(E13:E14)</f>
        <v>3344065.1612305697</v>
      </c>
      <c r="F15" s="187">
        <f t="shared" si="7"/>
        <v>3416533.0034053167</v>
      </c>
      <c r="G15" s="85"/>
      <c r="I15" s="81"/>
      <c r="J15" s="86" t="s">
        <v>510</v>
      </c>
      <c r="K15" s="103">
        <f>K13*K14</f>
        <v>931532.90096194088</v>
      </c>
      <c r="L15" s="103">
        <f>L13*L14</f>
        <v>842759.34203326784</v>
      </c>
      <c r="M15" s="103">
        <f>M13*M14</f>
        <v>791194.1502235079</v>
      </c>
      <c r="N15" s="85"/>
      <c r="P15" s="81"/>
      <c r="Q15" s="82"/>
      <c r="R15" s="83" t="s">
        <v>261</v>
      </c>
      <c r="S15" s="83" t="s">
        <v>262</v>
      </c>
      <c r="T15" s="83" t="s">
        <v>263</v>
      </c>
      <c r="U15" s="85"/>
    </row>
    <row r="16" spans="2:21">
      <c r="B16" s="81"/>
      <c r="C16" s="87"/>
      <c r="D16" s="186"/>
      <c r="E16" s="186"/>
      <c r="F16" s="186"/>
      <c r="G16" s="85"/>
      <c r="I16" s="81"/>
      <c r="J16" s="82"/>
      <c r="K16" s="82"/>
      <c r="L16" s="82"/>
      <c r="M16" s="82"/>
      <c r="N16" s="85"/>
      <c r="P16" s="81"/>
      <c r="Q16" s="76" t="s">
        <v>603</v>
      </c>
      <c r="R16" s="106">
        <v>28550</v>
      </c>
      <c r="S16" s="106">
        <v>24950</v>
      </c>
      <c r="T16" s="106">
        <v>24830</v>
      </c>
      <c r="U16" s="85"/>
    </row>
    <row r="17" spans="2:21">
      <c r="B17" s="81"/>
      <c r="C17" s="77" t="s">
        <v>278</v>
      </c>
      <c r="D17" s="187">
        <f>D6+D9-D15</f>
        <v>-109376.20538526075</v>
      </c>
      <c r="E17" s="187">
        <f t="shared" ref="E17:F17" si="8">E6+E9-E15</f>
        <v>-96061.294545647223</v>
      </c>
      <c r="F17" s="187">
        <f t="shared" si="8"/>
        <v>66933.468040668406</v>
      </c>
      <c r="G17" s="85"/>
      <c r="I17" s="81"/>
      <c r="J17" s="82" t="s">
        <v>227</v>
      </c>
      <c r="K17" s="182">
        <f>R24</f>
        <v>0</v>
      </c>
      <c r="L17" s="182">
        <f>S24</f>
        <v>0.03</v>
      </c>
      <c r="M17" s="182">
        <f>T24</f>
        <v>0.03</v>
      </c>
      <c r="N17" s="85"/>
      <c r="P17" s="81"/>
      <c r="Q17" s="76" t="s">
        <v>286</v>
      </c>
      <c r="R17" s="106">
        <v>50</v>
      </c>
      <c r="S17" s="106">
        <v>51</v>
      </c>
      <c r="T17" s="106">
        <v>52</v>
      </c>
      <c r="U17" s="85"/>
    </row>
    <row r="18" spans="2:21">
      <c r="B18" s="81"/>
      <c r="C18" s="87"/>
      <c r="D18" s="186"/>
      <c r="E18" s="186"/>
      <c r="F18" s="186"/>
      <c r="G18" s="85"/>
      <c r="I18" s="81"/>
      <c r="J18" s="86" t="s">
        <v>511</v>
      </c>
      <c r="K18" s="103">
        <f>K15*(1+K17)</f>
        <v>931532.90096194088</v>
      </c>
      <c r="L18" s="103">
        <f>L15*(1+L17)</f>
        <v>868042.12229426589</v>
      </c>
      <c r="M18" s="103">
        <f>M15*(1+M17)</f>
        <v>814929.97473021317</v>
      </c>
      <c r="N18" s="85"/>
      <c r="P18" s="81"/>
      <c r="Q18" s="76"/>
      <c r="R18" s="108"/>
      <c r="S18" s="108"/>
      <c r="T18" s="108"/>
      <c r="U18" s="85"/>
    </row>
    <row r="19" spans="2:21">
      <c r="B19" s="81"/>
      <c r="C19" s="87" t="s">
        <v>578</v>
      </c>
      <c r="D19" s="186"/>
      <c r="E19" s="186"/>
      <c r="F19" s="186"/>
      <c r="G19" s="85"/>
      <c r="I19" s="81"/>
      <c r="J19" s="82"/>
      <c r="K19" s="82"/>
      <c r="L19" s="82"/>
      <c r="M19" s="82"/>
      <c r="N19" s="85"/>
      <c r="P19" s="81"/>
      <c r="Q19" s="76" t="s">
        <v>287</v>
      </c>
      <c r="R19" s="106">
        <v>7334.2991391860996</v>
      </c>
      <c r="S19" s="106">
        <v>10240.465159977515</v>
      </c>
      <c r="T19" s="106">
        <v>10935.892239195153</v>
      </c>
      <c r="U19" s="85"/>
    </row>
    <row r="20" spans="2:21">
      <c r="B20" s="81"/>
      <c r="C20" s="77" t="s">
        <v>281</v>
      </c>
      <c r="D20" s="187">
        <f>D17+D19</f>
        <v>-109376.20538526075</v>
      </c>
      <c r="E20" s="187">
        <f t="shared" ref="E20:F20" si="9">E17+E19</f>
        <v>-96061.294545647223</v>
      </c>
      <c r="F20" s="187">
        <f t="shared" si="9"/>
        <v>66933.468040668406</v>
      </c>
      <c r="G20" s="85"/>
      <c r="I20" s="81"/>
      <c r="J20" s="82"/>
      <c r="K20" s="82"/>
      <c r="L20" s="82"/>
      <c r="M20" s="82"/>
      <c r="N20" s="85"/>
      <c r="P20" s="81"/>
      <c r="Q20" s="76" t="s">
        <v>288</v>
      </c>
      <c r="R20" s="106">
        <v>120</v>
      </c>
      <c r="S20" s="106">
        <v>120</v>
      </c>
      <c r="T20" s="106">
        <v>122</v>
      </c>
      <c r="U20" s="85"/>
    </row>
    <row r="21" spans="2:21">
      <c r="B21" s="81"/>
      <c r="C21" s="87"/>
      <c r="D21" s="75"/>
      <c r="E21" s="75"/>
      <c r="F21" s="75"/>
      <c r="G21" s="85"/>
      <c r="I21" s="81"/>
      <c r="J21" s="100"/>
      <c r="K21" s="105" t="s">
        <v>284</v>
      </c>
      <c r="L21" s="105"/>
      <c r="M21" s="105"/>
      <c r="N21" s="85"/>
      <c r="P21" s="81"/>
      <c r="Q21" s="82"/>
      <c r="R21" s="82"/>
      <c r="S21" s="82"/>
      <c r="T21" s="82"/>
      <c r="U21" s="85"/>
    </row>
    <row r="22" spans="2:21">
      <c r="B22" s="81"/>
      <c r="G22" s="85"/>
      <c r="I22" s="81"/>
      <c r="J22" s="100"/>
      <c r="K22" s="83" t="s">
        <v>261</v>
      </c>
      <c r="L22" s="83" t="s">
        <v>262</v>
      </c>
      <c r="M22" s="83" t="s">
        <v>263</v>
      </c>
      <c r="N22" s="85"/>
      <c r="P22" s="81"/>
      <c r="R22" s="105" t="s">
        <v>227</v>
      </c>
      <c r="S22" s="105"/>
      <c r="T22" s="105"/>
      <c r="U22" s="85"/>
    </row>
    <row r="23" spans="2:21">
      <c r="B23" s="81"/>
      <c r="G23" s="85"/>
      <c r="I23" s="81"/>
      <c r="J23" s="76" t="s">
        <v>285</v>
      </c>
      <c r="K23" s="102">
        <f t="shared" ref="K23:M24" si="10">R16</f>
        <v>28550</v>
      </c>
      <c r="L23" s="102">
        <f t="shared" si="10"/>
        <v>24950</v>
      </c>
      <c r="M23" s="102">
        <f t="shared" si="10"/>
        <v>24830</v>
      </c>
      <c r="N23" s="85"/>
      <c r="P23" s="81"/>
      <c r="R23" s="83" t="s">
        <v>261</v>
      </c>
      <c r="S23" s="83" t="s">
        <v>262</v>
      </c>
      <c r="T23" s="83" t="s">
        <v>263</v>
      </c>
      <c r="U23" s="85"/>
    </row>
    <row r="24" spans="2:21">
      <c r="B24" s="81"/>
      <c r="G24" s="85"/>
      <c r="I24" s="81"/>
      <c r="J24" s="76" t="s">
        <v>286</v>
      </c>
      <c r="K24" s="102">
        <f t="shared" si="10"/>
        <v>50</v>
      </c>
      <c r="L24" s="102">
        <f t="shared" si="10"/>
        <v>51</v>
      </c>
      <c r="M24" s="102">
        <f t="shared" si="10"/>
        <v>52</v>
      </c>
      <c r="N24" s="85"/>
      <c r="P24" s="81"/>
      <c r="Q24" s="180" t="s">
        <v>509</v>
      </c>
      <c r="R24" s="181">
        <v>0</v>
      </c>
      <c r="S24" s="181">
        <v>0.03</v>
      </c>
      <c r="T24" s="181">
        <v>0.03</v>
      </c>
      <c r="U24" s="85"/>
    </row>
    <row r="25" spans="2:21">
      <c r="B25" s="81"/>
      <c r="G25" s="85"/>
      <c r="I25" s="81"/>
      <c r="J25" s="86" t="s">
        <v>290</v>
      </c>
      <c r="K25" s="103">
        <f t="shared" ref="K25:M25" si="11">K23*K24</f>
        <v>1427500</v>
      </c>
      <c r="L25" s="103">
        <f t="shared" si="11"/>
        <v>1272450</v>
      </c>
      <c r="M25" s="103">
        <f t="shared" si="11"/>
        <v>1291160</v>
      </c>
      <c r="N25" s="85"/>
      <c r="P25" s="81"/>
      <c r="Q25" s="82"/>
      <c r="R25" s="98"/>
      <c r="S25" s="98"/>
      <c r="T25" s="98"/>
      <c r="U25" s="85"/>
    </row>
    <row r="26" spans="2:21">
      <c r="B26" s="81"/>
      <c r="G26" s="85"/>
      <c r="I26" s="81"/>
      <c r="J26" s="100"/>
      <c r="K26" s="108"/>
      <c r="L26" s="108"/>
      <c r="M26" s="108"/>
      <c r="N26" s="85"/>
      <c r="P26" s="81"/>
      <c r="Q26" s="82"/>
      <c r="R26" s="97"/>
      <c r="S26" s="97"/>
      <c r="T26" s="97"/>
      <c r="U26" s="85"/>
    </row>
    <row r="27" spans="2:21">
      <c r="B27" s="81"/>
      <c r="C27" s="82"/>
      <c r="D27" s="82"/>
      <c r="E27" s="82"/>
      <c r="F27" s="82"/>
      <c r="G27" s="85"/>
      <c r="I27" s="81"/>
      <c r="J27" s="76" t="s">
        <v>287</v>
      </c>
      <c r="K27" s="102">
        <f t="shared" ref="K27:M28" si="12">R19</f>
        <v>7334.2991391860996</v>
      </c>
      <c r="L27" s="102">
        <f t="shared" si="12"/>
        <v>10240.465159977515</v>
      </c>
      <c r="M27" s="102">
        <f t="shared" si="12"/>
        <v>10935.892239195153</v>
      </c>
      <c r="N27" s="85"/>
      <c r="P27" s="81"/>
      <c r="Q27" s="82"/>
      <c r="R27" s="82"/>
      <c r="S27" s="82"/>
      <c r="T27" s="82"/>
      <c r="U27" s="85"/>
    </row>
    <row r="28" spans="2:21" ht="15.75" thickBot="1">
      <c r="B28" s="90"/>
      <c r="C28" s="91"/>
      <c r="D28" s="91"/>
      <c r="E28" s="91"/>
      <c r="F28" s="91"/>
      <c r="G28" s="92"/>
      <c r="I28" s="81"/>
      <c r="J28" s="76" t="s">
        <v>288</v>
      </c>
      <c r="K28" s="102">
        <f t="shared" si="12"/>
        <v>120</v>
      </c>
      <c r="L28" s="102">
        <f t="shared" si="12"/>
        <v>120</v>
      </c>
      <c r="M28" s="102">
        <f t="shared" si="12"/>
        <v>122</v>
      </c>
      <c r="N28" s="85"/>
      <c r="P28" s="90"/>
      <c r="Q28" s="91"/>
      <c r="R28" s="91"/>
      <c r="S28" s="91"/>
      <c r="T28" s="91"/>
      <c r="U28" s="92"/>
    </row>
    <row r="29" spans="2:21">
      <c r="I29" s="81"/>
      <c r="J29" s="86" t="s">
        <v>290</v>
      </c>
      <c r="K29" s="103">
        <f t="shared" ref="K29:M29" si="13">K27*K28</f>
        <v>880115.89670233196</v>
      </c>
      <c r="L29" s="103">
        <f t="shared" si="13"/>
        <v>1228855.8191973018</v>
      </c>
      <c r="M29" s="103">
        <f t="shared" si="13"/>
        <v>1334178.8531818087</v>
      </c>
      <c r="N29" s="85"/>
    </row>
    <row r="30" spans="2:21" ht="15.75" thickBot="1">
      <c r="I30" s="90"/>
      <c r="J30" s="91"/>
      <c r="K30" s="91"/>
      <c r="L30" s="91"/>
      <c r="M30" s="91"/>
      <c r="N30" s="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8"/>
  <sheetViews>
    <sheetView showGridLines="0" workbookViewId="0">
      <selection activeCell="G28" sqref="G28"/>
    </sheetView>
  </sheetViews>
  <sheetFormatPr defaultColWidth="0" defaultRowHeight="15" zeroHeight="1"/>
  <cols>
    <col min="1" max="1" width="11.7109375" customWidth="1"/>
    <col min="2" max="2" width="11.85546875" customWidth="1"/>
    <col min="3" max="3" width="9.140625" customWidth="1"/>
    <col min="4" max="4" width="2" customWidth="1"/>
    <col min="5" max="6" width="9.140625" customWidth="1"/>
    <col min="7" max="7" width="4.7109375" customWidth="1"/>
    <col min="8" max="15" width="0" hidden="1" customWidth="1"/>
    <col min="16" max="16384" width="9.140625" hidden="1"/>
  </cols>
  <sheetData>
    <row r="1" spans="1:6">
      <c r="A1" s="2" t="s">
        <v>481</v>
      </c>
      <c r="B1" s="2"/>
      <c r="C1" s="2"/>
      <c r="D1" s="2"/>
      <c r="E1" s="2"/>
      <c r="F1" s="2"/>
    </row>
    <row r="2" spans="1:6">
      <c r="A2" s="130" t="s">
        <v>2</v>
      </c>
    </row>
    <row r="3" spans="1:6">
      <c r="A3" s="131" t="s">
        <v>480</v>
      </c>
    </row>
    <row r="4" spans="1:6">
      <c r="A4" s="131" t="s">
        <v>482</v>
      </c>
    </row>
    <row r="5" spans="1:6"/>
    <row r="6" spans="1:6"/>
    <row r="7" spans="1:6">
      <c r="A7" s="95"/>
      <c r="B7" s="95" t="s">
        <v>512</v>
      </c>
      <c r="C7" s="95"/>
      <c r="D7" s="95"/>
      <c r="E7" s="95"/>
      <c r="F7" s="95"/>
    </row>
    <row r="8" spans="1:6"/>
    <row r="9" spans="1:6">
      <c r="C9" s="183">
        <f>SUM(C12:C24)</f>
        <v>1</v>
      </c>
      <c r="E9" s="183">
        <f>SUM(E12:E24)</f>
        <v>1</v>
      </c>
    </row>
    <row r="10" spans="1:6">
      <c r="C10" t="s">
        <v>519</v>
      </c>
      <c r="E10" t="s">
        <v>520</v>
      </c>
    </row>
    <row r="11" spans="1:6"/>
    <row r="12" spans="1:6"/>
    <row r="13" spans="1:6">
      <c r="B13" s="184" t="s">
        <v>605</v>
      </c>
      <c r="C13" s="183">
        <f>E13</f>
        <v>0</v>
      </c>
      <c r="E13" s="183">
        <v>0</v>
      </c>
    </row>
    <row r="14" spans="1:6">
      <c r="B14" s="104"/>
    </row>
    <row r="15" spans="1:6">
      <c r="B15" s="104" t="s">
        <v>513</v>
      </c>
      <c r="C15" s="183">
        <f>E15</f>
        <v>1</v>
      </c>
      <c r="E15" s="183">
        <v>1</v>
      </c>
    </row>
    <row r="16" spans="1:6">
      <c r="B16" s="104"/>
    </row>
    <row r="17" spans="1:7">
      <c r="B17" s="104" t="s">
        <v>514</v>
      </c>
      <c r="C17" s="183">
        <f>E17</f>
        <v>0</v>
      </c>
      <c r="E17" s="183">
        <v>0</v>
      </c>
    </row>
    <row r="18" spans="1:7">
      <c r="B18" s="104"/>
    </row>
    <row r="19" spans="1:7">
      <c r="B19" s="104" t="s">
        <v>515</v>
      </c>
      <c r="C19" s="183">
        <f>E19</f>
        <v>0</v>
      </c>
      <c r="E19" s="183">
        <v>0</v>
      </c>
    </row>
    <row r="20" spans="1:7">
      <c r="B20" s="104"/>
    </row>
    <row r="21" spans="1:7">
      <c r="B21" s="104" t="s">
        <v>516</v>
      </c>
      <c r="C21" s="183">
        <f>E21</f>
        <v>0</v>
      </c>
      <c r="E21" s="183">
        <v>0</v>
      </c>
    </row>
    <row r="22" spans="1:7">
      <c r="B22" s="104"/>
    </row>
    <row r="23" spans="1:7">
      <c r="B23" s="104" t="s">
        <v>518</v>
      </c>
      <c r="C23" s="183">
        <f>E23</f>
        <v>0</v>
      </c>
      <c r="E23" s="183">
        <v>0</v>
      </c>
    </row>
    <row r="24" spans="1:7">
      <c r="B24" s="104"/>
    </row>
    <row r="25" spans="1:7">
      <c r="B25" s="104" t="s">
        <v>517</v>
      </c>
      <c r="C25" s="183">
        <f>E25</f>
        <v>0</v>
      </c>
      <c r="E25" s="183">
        <v>0</v>
      </c>
    </row>
    <row r="26" spans="1:7"/>
    <row r="27" spans="1:7">
      <c r="A27" s="185" t="s">
        <v>101</v>
      </c>
      <c r="B27" s="185"/>
      <c r="C27" s="185"/>
      <c r="D27" s="185"/>
      <c r="E27" s="185"/>
      <c r="F27" s="185"/>
      <c r="G27" s="185"/>
    </row>
    <row r="28" spans="1:7"/>
  </sheetData>
  <conditionalFormatting sqref="C9">
    <cfRule type="cellIs" dxfId="31" priority="33" stopIfTrue="1" operator="greaterThan">
      <formula>0</formula>
    </cfRule>
    <cfRule type="cellIs" dxfId="30" priority="34" stopIfTrue="1" operator="lessThan">
      <formula>0</formula>
    </cfRule>
  </conditionalFormatting>
  <conditionalFormatting sqref="C25 C23 C21 C19 C17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conditionalFormatting sqref="E9">
    <cfRule type="cellIs" dxfId="27" priority="31" stopIfTrue="1" operator="greaterThan">
      <formula>0</formula>
    </cfRule>
    <cfRule type="cellIs" dxfId="26" priority="32" stopIfTrue="1" operator="lessThan">
      <formula>0</formula>
    </cfRule>
  </conditionalFormatting>
  <conditionalFormatting sqref="E13">
    <cfRule type="cellIs" dxfId="25" priority="29" stopIfTrue="1" operator="greaterThan">
      <formula>0</formula>
    </cfRule>
    <cfRule type="cellIs" dxfId="24" priority="30" stopIfTrue="1" operator="lessThan">
      <formula>0</formula>
    </cfRule>
  </conditionalFormatting>
  <conditionalFormatting sqref="E15">
    <cfRule type="cellIs" dxfId="23" priority="27" stopIfTrue="1" operator="greaterThan">
      <formula>0</formula>
    </cfRule>
    <cfRule type="cellIs" dxfId="22" priority="28" stopIfTrue="1" operator="lessThan">
      <formula>0</formula>
    </cfRule>
  </conditionalFormatting>
  <conditionalFormatting sqref="E17">
    <cfRule type="cellIs" dxfId="21" priority="25" stopIfTrue="1" operator="greaterThan">
      <formula>0</formula>
    </cfRule>
    <cfRule type="cellIs" dxfId="20" priority="26" stopIfTrue="1" operator="lessThan">
      <formula>0</formula>
    </cfRule>
  </conditionalFormatting>
  <conditionalFormatting sqref="E19">
    <cfRule type="cellIs" dxfId="19" priority="23" stopIfTrue="1" operator="greaterThan">
      <formula>0</formula>
    </cfRule>
    <cfRule type="cellIs" dxfId="18" priority="24" stopIfTrue="1" operator="lessThan">
      <formula>0</formula>
    </cfRule>
  </conditionalFormatting>
  <conditionalFormatting sqref="E21">
    <cfRule type="cellIs" dxfId="17" priority="21" stopIfTrue="1" operator="greaterThan">
      <formula>0</formula>
    </cfRule>
    <cfRule type="cellIs" dxfId="16" priority="22" stopIfTrue="1" operator="lessThan">
      <formula>0</formula>
    </cfRule>
  </conditionalFormatting>
  <conditionalFormatting sqref="E23">
    <cfRule type="cellIs" dxfId="15" priority="19" stopIfTrue="1" operator="greaterThan">
      <formula>0</formula>
    </cfRule>
    <cfRule type="cellIs" dxfId="14" priority="20" stopIfTrue="1" operator="lessThan">
      <formula>0</formula>
    </cfRule>
  </conditionalFormatting>
  <conditionalFormatting sqref="E25">
    <cfRule type="cellIs" dxfId="13" priority="17" stopIfTrue="1" operator="greaterThan">
      <formula>0</formula>
    </cfRule>
    <cfRule type="cellIs" dxfId="12" priority="18" stopIfTrue="1" operator="lessThan">
      <formula>0</formula>
    </cfRule>
  </conditionalFormatting>
  <conditionalFormatting sqref="C13">
    <cfRule type="cellIs" dxfId="11" priority="15" stopIfTrue="1" operator="greaterThan">
      <formula>0</formula>
    </cfRule>
    <cfRule type="cellIs" dxfId="10" priority="16" stopIfTrue="1" operator="lessThan">
      <formula>0</formula>
    </cfRule>
  </conditionalFormatting>
  <conditionalFormatting sqref="C15">
    <cfRule type="cellIs" dxfId="9" priority="13" stopIfTrue="1" operator="greaterThan">
      <formula>0</formula>
    </cfRule>
    <cfRule type="cellIs" dxfId="8" priority="14" stopIfTrue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00"/>
  <sheetViews>
    <sheetView showGridLines="0" zoomScale="90" zoomScaleNormal="90" workbookViewId="0">
      <selection activeCell="U20" sqref="U20"/>
    </sheetView>
  </sheetViews>
  <sheetFormatPr defaultRowHeight="15" zeroHeight="1"/>
  <cols>
    <col min="2" max="2" width="8.85546875" bestFit="1" customWidth="1"/>
    <col min="3" max="3" width="12.42578125" bestFit="1" customWidth="1"/>
    <col min="4" max="4" width="11.28515625" bestFit="1" customWidth="1"/>
    <col min="5" max="5" width="15" bestFit="1" customWidth="1"/>
    <col min="6" max="6" width="7.140625" bestFit="1" customWidth="1"/>
    <col min="7" max="7" width="12.42578125" bestFit="1" customWidth="1"/>
    <col min="8" max="8" width="12.5703125" bestFit="1" customWidth="1"/>
    <col min="9" max="9" width="12.7109375" bestFit="1" customWidth="1"/>
    <col min="10" max="10" width="12.5703125" bestFit="1" customWidth="1"/>
    <col min="11" max="11" width="13" bestFit="1" customWidth="1"/>
    <col min="12" max="12" width="12.42578125" bestFit="1" customWidth="1"/>
    <col min="13" max="13" width="11.7109375" bestFit="1" customWidth="1"/>
    <col min="14" max="15" width="12.85546875" bestFit="1" customWidth="1"/>
    <col min="16" max="16" width="12.42578125" bestFit="1" customWidth="1"/>
    <col min="17" max="18" width="12.85546875" bestFit="1" customWidth="1"/>
    <col min="19" max="19" width="1.7109375" customWidth="1"/>
    <col min="20" max="20" width="0.85546875" customWidth="1"/>
    <col min="21" max="21" width="6.7109375" customWidth="1"/>
    <col min="22" max="22" width="1.7109375" customWidth="1"/>
  </cols>
  <sheetData>
    <row r="1" spans="1:22">
      <c r="A1" s="2" t="s">
        <v>481</v>
      </c>
      <c r="B1" s="2"/>
      <c r="C1" s="2"/>
      <c r="D1" s="2"/>
      <c r="E1" s="3">
        <f>U12</f>
        <v>1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>
      <c r="A2" s="130" t="s">
        <v>2</v>
      </c>
    </row>
    <row r="3" spans="1:22">
      <c r="A3" s="131" t="s">
        <v>480</v>
      </c>
    </row>
    <row r="4" spans="1:22">
      <c r="A4" s="131" t="s">
        <v>482</v>
      </c>
    </row>
    <row r="5" spans="1:22"/>
    <row r="6" spans="1:22" ht="15.75" thickBot="1"/>
    <row r="7" spans="1:22">
      <c r="A7" s="7"/>
      <c r="B7" s="7" t="s">
        <v>487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50"/>
      <c r="T7" s="151"/>
      <c r="U7" s="7"/>
      <c r="V7" s="150"/>
    </row>
    <row r="8" spans="1:22" ht="15" customHeight="1">
      <c r="E8" s="4" t="s">
        <v>343</v>
      </c>
      <c r="G8" s="153" t="s">
        <v>261</v>
      </c>
      <c r="H8" s="153" t="s">
        <v>261</v>
      </c>
      <c r="I8" s="153" t="s">
        <v>261</v>
      </c>
      <c r="J8" s="153" t="s">
        <v>261</v>
      </c>
      <c r="K8" s="153" t="s">
        <v>261</v>
      </c>
      <c r="L8" s="153" t="s">
        <v>261</v>
      </c>
      <c r="M8" s="153" t="s">
        <v>261</v>
      </c>
      <c r="N8" s="153" t="s">
        <v>261</v>
      </c>
      <c r="O8" s="153" t="s">
        <v>261</v>
      </c>
      <c r="P8" s="153" t="s">
        <v>261</v>
      </c>
      <c r="Q8" s="153" t="s">
        <v>261</v>
      </c>
      <c r="R8" s="153" t="s">
        <v>261</v>
      </c>
      <c r="S8" s="155"/>
      <c r="T8" s="156"/>
      <c r="U8" s="242" t="s">
        <v>0</v>
      </c>
      <c r="V8" s="155"/>
    </row>
    <row r="9" spans="1:22">
      <c r="E9" s="4" t="s">
        <v>489</v>
      </c>
      <c r="G9" s="158">
        <v>38718</v>
      </c>
      <c r="H9" s="158">
        <v>38749</v>
      </c>
      <c r="I9" s="158">
        <v>38777</v>
      </c>
      <c r="J9" s="158">
        <v>38808</v>
      </c>
      <c r="K9" s="158">
        <v>38838</v>
      </c>
      <c r="L9" s="158">
        <v>38869</v>
      </c>
      <c r="M9" s="158">
        <v>38899</v>
      </c>
      <c r="N9" s="158">
        <v>38930</v>
      </c>
      <c r="O9" s="158">
        <v>38961</v>
      </c>
      <c r="P9" s="158">
        <v>38991</v>
      </c>
      <c r="Q9" s="158">
        <v>39022</v>
      </c>
      <c r="R9" s="158">
        <v>39052</v>
      </c>
      <c r="S9" s="155"/>
      <c r="T9" s="156"/>
      <c r="U9" s="242"/>
      <c r="V9" s="155"/>
    </row>
    <row r="10" spans="1:22">
      <c r="E10" s="4" t="s">
        <v>490</v>
      </c>
      <c r="G10" s="158">
        <v>38748</v>
      </c>
      <c r="H10" s="158">
        <v>38776</v>
      </c>
      <c r="I10" s="158">
        <v>38807</v>
      </c>
      <c r="J10" s="158">
        <v>38837</v>
      </c>
      <c r="K10" s="158">
        <v>38868</v>
      </c>
      <c r="L10" s="158">
        <v>38898</v>
      </c>
      <c r="M10" s="158">
        <v>38929</v>
      </c>
      <c r="N10" s="158">
        <v>38960</v>
      </c>
      <c r="O10" s="158">
        <v>38990</v>
      </c>
      <c r="P10" s="158">
        <v>39021</v>
      </c>
      <c r="Q10" s="158">
        <v>39051</v>
      </c>
      <c r="R10" s="158">
        <v>39082</v>
      </c>
      <c r="S10" s="155"/>
      <c r="T10" s="156"/>
      <c r="U10" s="242"/>
      <c r="V10" s="155"/>
    </row>
    <row r="11" spans="1:22">
      <c r="E11" s="4" t="s">
        <v>337</v>
      </c>
      <c r="G11" s="153" t="s">
        <v>368</v>
      </c>
      <c r="H11" s="153" t="s">
        <v>368</v>
      </c>
      <c r="I11" s="153" t="s">
        <v>368</v>
      </c>
      <c r="J11" s="153" t="s">
        <v>368</v>
      </c>
      <c r="K11" s="153" t="s">
        <v>368</v>
      </c>
      <c r="L11" s="153" t="s">
        <v>368</v>
      </c>
      <c r="M11" s="153" t="s">
        <v>368</v>
      </c>
      <c r="N11" s="153" t="s">
        <v>368</v>
      </c>
      <c r="O11" s="153" t="s">
        <v>368</v>
      </c>
      <c r="P11" s="153" t="s">
        <v>368</v>
      </c>
      <c r="Q11" s="153" t="s">
        <v>368</v>
      </c>
      <c r="R11" s="153" t="s">
        <v>368</v>
      </c>
      <c r="S11" s="155"/>
      <c r="T11" s="156"/>
      <c r="U11" s="242"/>
      <c r="V11" s="155"/>
    </row>
    <row r="12" spans="1:22">
      <c r="E12" s="4" t="s">
        <v>491</v>
      </c>
      <c r="G12" s="153">
        <v>1</v>
      </c>
      <c r="H12" s="153">
        <v>1</v>
      </c>
      <c r="I12" s="153">
        <v>1</v>
      </c>
      <c r="J12" s="153">
        <v>1</v>
      </c>
      <c r="K12" s="153">
        <v>1</v>
      </c>
      <c r="L12" s="153">
        <v>1</v>
      </c>
      <c r="M12" s="153">
        <v>1</v>
      </c>
      <c r="N12" s="153">
        <v>1</v>
      </c>
      <c r="O12" s="153">
        <v>1</v>
      </c>
      <c r="P12" s="153">
        <v>1</v>
      </c>
      <c r="Q12" s="153">
        <v>1</v>
      </c>
      <c r="R12" s="153">
        <v>1</v>
      </c>
      <c r="S12" s="155"/>
      <c r="T12" s="161"/>
      <c r="U12" s="3">
        <f>SUM(U16:U26)</f>
        <v>1</v>
      </c>
      <c r="V12" s="155"/>
    </row>
    <row r="13" spans="1:22">
      <c r="A13" s="7"/>
      <c r="B13" s="7" t="s">
        <v>492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155"/>
      <c r="T13" s="161"/>
      <c r="U13" s="7"/>
      <c r="V13" s="155"/>
    </row>
    <row r="14" spans="1:22" ht="15.75" thickBot="1"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155"/>
      <c r="T14" s="161"/>
      <c r="V14" s="155"/>
    </row>
    <row r="15" spans="1:22" ht="51" customHeight="1" thickBot="1">
      <c r="B15" s="163" t="s">
        <v>494</v>
      </c>
      <c r="C15" s="164" t="s">
        <v>28</v>
      </c>
      <c r="D15" s="164" t="s">
        <v>52</v>
      </c>
      <c r="E15" s="164" t="s">
        <v>176</v>
      </c>
      <c r="F15" s="165" t="s">
        <v>290</v>
      </c>
      <c r="G15" s="166" t="s">
        <v>107</v>
      </c>
      <c r="H15" s="166" t="s">
        <v>107</v>
      </c>
      <c r="I15" s="166" t="s">
        <v>107</v>
      </c>
      <c r="J15" s="166" t="s">
        <v>107</v>
      </c>
      <c r="K15" s="166" t="s">
        <v>107</v>
      </c>
      <c r="L15" s="166" t="s">
        <v>107</v>
      </c>
      <c r="M15" s="166" t="s">
        <v>107</v>
      </c>
      <c r="N15" s="166" t="s">
        <v>107</v>
      </c>
      <c r="O15" s="166" t="s">
        <v>107</v>
      </c>
      <c r="P15" s="166" t="s">
        <v>107</v>
      </c>
      <c r="Q15" s="166" t="s">
        <v>107</v>
      </c>
      <c r="R15" s="166" t="s">
        <v>107</v>
      </c>
      <c r="S15" s="155"/>
      <c r="T15" s="171"/>
      <c r="V15" s="155"/>
    </row>
    <row r="16" spans="1:22">
      <c r="A16" s="6"/>
      <c r="B16" s="10" t="s">
        <v>521</v>
      </c>
      <c r="C16" s="10" t="s">
        <v>33</v>
      </c>
      <c r="D16" s="10" t="s">
        <v>525</v>
      </c>
      <c r="E16" s="10" t="s">
        <v>527</v>
      </c>
      <c r="F16" s="6">
        <v>0</v>
      </c>
      <c r="G16" s="194">
        <f>260814/2</f>
        <v>130407</v>
      </c>
      <c r="H16" s="194">
        <f t="shared" ref="H16:R16" si="0">260814/2</f>
        <v>130407</v>
      </c>
      <c r="I16" s="194">
        <f t="shared" si="0"/>
        <v>130407</v>
      </c>
      <c r="J16" s="194">
        <f t="shared" si="0"/>
        <v>130407</v>
      </c>
      <c r="K16" s="194">
        <f t="shared" si="0"/>
        <v>130407</v>
      </c>
      <c r="L16" s="194">
        <f t="shared" si="0"/>
        <v>130407</v>
      </c>
      <c r="M16" s="194">
        <f t="shared" si="0"/>
        <v>130407</v>
      </c>
      <c r="N16" s="194">
        <f t="shared" si="0"/>
        <v>130407</v>
      </c>
      <c r="O16" s="194">
        <f t="shared" si="0"/>
        <v>130407</v>
      </c>
      <c r="P16" s="194">
        <f t="shared" si="0"/>
        <v>130407</v>
      </c>
      <c r="Q16" s="194">
        <f t="shared" si="0"/>
        <v>130407</v>
      </c>
      <c r="R16" s="194">
        <f t="shared" si="0"/>
        <v>130407</v>
      </c>
      <c r="S16" s="155"/>
      <c r="T16" s="161"/>
      <c r="U16" s="3">
        <f>IF(AND(G16&gt;0,ISBLANK(D16)),1,0)</f>
        <v>0</v>
      </c>
      <c r="V16" s="155"/>
    </row>
    <row r="17" spans="1:22">
      <c r="A17" s="6"/>
      <c r="B17" s="10" t="s">
        <v>522</v>
      </c>
      <c r="C17" s="10" t="s">
        <v>33</v>
      </c>
      <c r="D17" s="10" t="s">
        <v>526</v>
      </c>
      <c r="E17" s="10" t="s">
        <v>528</v>
      </c>
      <c r="F17" s="6">
        <v>0</v>
      </c>
      <c r="G17" s="194">
        <f>931532/36</f>
        <v>25875.888888888891</v>
      </c>
      <c r="H17" s="194">
        <f t="shared" ref="H17:R20" si="1">931532/36</f>
        <v>25875.888888888891</v>
      </c>
      <c r="I17" s="194">
        <f t="shared" si="1"/>
        <v>25875.888888888891</v>
      </c>
      <c r="J17" s="194">
        <f t="shared" si="1"/>
        <v>25875.888888888891</v>
      </c>
      <c r="K17" s="194">
        <f t="shared" si="1"/>
        <v>25875.888888888891</v>
      </c>
      <c r="L17" s="194">
        <f t="shared" si="1"/>
        <v>25875.888888888891</v>
      </c>
      <c r="M17" s="194">
        <f t="shared" si="1"/>
        <v>25875.888888888891</v>
      </c>
      <c r="N17" s="194">
        <f t="shared" si="1"/>
        <v>25875.888888888891</v>
      </c>
      <c r="O17" s="194">
        <f t="shared" si="1"/>
        <v>25875.888888888891</v>
      </c>
      <c r="P17" s="194">
        <f t="shared" si="1"/>
        <v>25875.888888888891</v>
      </c>
      <c r="Q17" s="194">
        <f t="shared" si="1"/>
        <v>25875.888888888891</v>
      </c>
      <c r="R17" s="194">
        <f t="shared" si="1"/>
        <v>25875.888888888891</v>
      </c>
      <c r="S17" s="155"/>
      <c r="T17" s="161"/>
      <c r="U17" s="3">
        <f t="shared" ref="U17:U26" si="2">IF(AND(G17&gt;0,ISBLANK(D17)),1,0)</f>
        <v>0</v>
      </c>
      <c r="V17" s="155"/>
    </row>
    <row r="18" spans="1:22">
      <c r="A18" s="6"/>
      <c r="B18" s="10" t="s">
        <v>522</v>
      </c>
      <c r="C18" s="10" t="s">
        <v>33</v>
      </c>
      <c r="D18" s="10" t="s">
        <v>526</v>
      </c>
      <c r="E18" s="10" t="s">
        <v>528</v>
      </c>
      <c r="F18" s="6">
        <v>0</v>
      </c>
      <c r="G18" s="194">
        <f>931532/36</f>
        <v>25875.888888888891</v>
      </c>
      <c r="H18" s="194">
        <f t="shared" si="1"/>
        <v>25875.888888888891</v>
      </c>
      <c r="I18" s="194">
        <f t="shared" si="1"/>
        <v>25875.888888888891</v>
      </c>
      <c r="J18" s="194">
        <f t="shared" si="1"/>
        <v>25875.888888888891</v>
      </c>
      <c r="K18" s="194">
        <f t="shared" si="1"/>
        <v>25875.888888888891</v>
      </c>
      <c r="L18" s="194">
        <f t="shared" si="1"/>
        <v>25875.888888888891</v>
      </c>
      <c r="M18" s="194">
        <f t="shared" si="1"/>
        <v>25875.888888888891</v>
      </c>
      <c r="N18" s="194">
        <f t="shared" si="1"/>
        <v>25875.888888888891</v>
      </c>
      <c r="O18" s="194">
        <f t="shared" si="1"/>
        <v>25875.888888888891</v>
      </c>
      <c r="P18" s="194">
        <f t="shared" si="1"/>
        <v>25875.888888888891</v>
      </c>
      <c r="Q18" s="194">
        <f t="shared" si="1"/>
        <v>25875.888888888891</v>
      </c>
      <c r="R18" s="194">
        <f t="shared" si="1"/>
        <v>25875.888888888891</v>
      </c>
      <c r="S18" s="155"/>
      <c r="T18" s="161"/>
      <c r="U18" s="3">
        <f t="shared" si="2"/>
        <v>0</v>
      </c>
      <c r="V18" s="155"/>
    </row>
    <row r="19" spans="1:22">
      <c r="A19" s="6"/>
      <c r="B19" s="10" t="s">
        <v>521</v>
      </c>
      <c r="C19" s="10" t="s">
        <v>33</v>
      </c>
      <c r="D19" s="10" t="s">
        <v>525</v>
      </c>
      <c r="E19" s="10" t="s">
        <v>527</v>
      </c>
      <c r="F19" s="6">
        <v>0</v>
      </c>
      <c r="G19" s="194">
        <f>260814/2</f>
        <v>130407</v>
      </c>
      <c r="H19" s="194">
        <f t="shared" ref="H19:R19" si="3">260814/2</f>
        <v>130407</v>
      </c>
      <c r="I19" s="194">
        <f t="shared" si="3"/>
        <v>130407</v>
      </c>
      <c r="J19" s="194">
        <f t="shared" si="3"/>
        <v>130407</v>
      </c>
      <c r="K19" s="194">
        <f t="shared" si="3"/>
        <v>130407</v>
      </c>
      <c r="L19" s="194">
        <f t="shared" si="3"/>
        <v>130407</v>
      </c>
      <c r="M19" s="194">
        <f t="shared" si="3"/>
        <v>130407</v>
      </c>
      <c r="N19" s="194">
        <f t="shared" si="3"/>
        <v>130407</v>
      </c>
      <c r="O19" s="194">
        <f t="shared" si="3"/>
        <v>130407</v>
      </c>
      <c r="P19" s="194">
        <f t="shared" si="3"/>
        <v>130407</v>
      </c>
      <c r="Q19" s="194">
        <f t="shared" si="3"/>
        <v>130407</v>
      </c>
      <c r="R19" s="194">
        <f t="shared" si="3"/>
        <v>130407</v>
      </c>
      <c r="S19" s="155"/>
      <c r="T19" s="161"/>
      <c r="U19" s="3">
        <f t="shared" si="2"/>
        <v>0</v>
      </c>
      <c r="V19" s="155"/>
    </row>
    <row r="20" spans="1:22">
      <c r="A20" s="6"/>
      <c r="B20" s="10" t="s">
        <v>523</v>
      </c>
      <c r="C20" s="10" t="s">
        <v>33</v>
      </c>
      <c r="D20" s="10"/>
      <c r="E20" s="10" t="s">
        <v>528</v>
      </c>
      <c r="F20" s="6">
        <v>0</v>
      </c>
      <c r="G20" s="194">
        <f>931532/36</f>
        <v>25875.888888888891</v>
      </c>
      <c r="H20" s="194">
        <f t="shared" si="1"/>
        <v>25875.888888888891</v>
      </c>
      <c r="I20" s="194">
        <f t="shared" si="1"/>
        <v>25875.888888888891</v>
      </c>
      <c r="J20" s="194">
        <f t="shared" si="1"/>
        <v>25875.888888888891</v>
      </c>
      <c r="K20" s="194">
        <f t="shared" si="1"/>
        <v>25875.888888888891</v>
      </c>
      <c r="L20" s="194">
        <f t="shared" si="1"/>
        <v>25875.888888888891</v>
      </c>
      <c r="M20" s="194">
        <f t="shared" si="1"/>
        <v>25875.888888888891</v>
      </c>
      <c r="N20" s="194">
        <f t="shared" si="1"/>
        <v>25875.888888888891</v>
      </c>
      <c r="O20" s="194">
        <f t="shared" si="1"/>
        <v>25875.888888888891</v>
      </c>
      <c r="P20" s="194">
        <f t="shared" si="1"/>
        <v>25875.888888888891</v>
      </c>
      <c r="Q20" s="194">
        <f t="shared" si="1"/>
        <v>25875.888888888891</v>
      </c>
      <c r="R20" s="194">
        <f t="shared" si="1"/>
        <v>25875.888888888891</v>
      </c>
      <c r="S20" s="155"/>
      <c r="T20" s="161"/>
      <c r="U20" s="3">
        <f t="shared" si="2"/>
        <v>1</v>
      </c>
      <c r="V20" s="155"/>
    </row>
    <row r="21" spans="1:22">
      <c r="A21" s="6"/>
      <c r="B21" s="10" t="s">
        <v>524</v>
      </c>
      <c r="C21" s="10" t="s">
        <v>33</v>
      </c>
      <c r="D21" s="10" t="s">
        <v>526</v>
      </c>
      <c r="E21" s="10" t="s">
        <v>284</v>
      </c>
      <c r="F21" s="6">
        <v>0</v>
      </c>
      <c r="G21" s="194">
        <v>39742</v>
      </c>
      <c r="H21" s="194">
        <v>39742</v>
      </c>
      <c r="I21" s="194">
        <v>39742</v>
      </c>
      <c r="J21" s="194">
        <v>39742</v>
      </c>
      <c r="K21" s="194">
        <v>39742</v>
      </c>
      <c r="L21" s="194">
        <v>39742</v>
      </c>
      <c r="M21" s="194">
        <v>39742</v>
      </c>
      <c r="N21" s="194">
        <v>39742</v>
      </c>
      <c r="O21" s="194">
        <v>39742</v>
      </c>
      <c r="P21" s="194">
        <v>39742</v>
      </c>
      <c r="Q21" s="194">
        <v>39742</v>
      </c>
      <c r="R21" s="194">
        <v>39742</v>
      </c>
      <c r="S21" s="155"/>
      <c r="T21" s="161"/>
      <c r="U21" s="3">
        <f t="shared" si="2"/>
        <v>0</v>
      </c>
      <c r="V21" s="155"/>
    </row>
    <row r="22" spans="1:22">
      <c r="A22" s="6"/>
      <c r="B22" s="10" t="s">
        <v>524</v>
      </c>
      <c r="C22" s="10" t="s">
        <v>33</v>
      </c>
      <c r="D22" s="10" t="s">
        <v>526</v>
      </c>
      <c r="E22" s="10" t="s">
        <v>529</v>
      </c>
      <c r="F22" s="6">
        <v>0</v>
      </c>
      <c r="G22" s="173">
        <v>24358</v>
      </c>
      <c r="H22" s="173">
        <v>24358</v>
      </c>
      <c r="I22" s="173">
        <v>24358</v>
      </c>
      <c r="J22" s="173">
        <v>24358</v>
      </c>
      <c r="K22" s="173">
        <v>24358</v>
      </c>
      <c r="L22" s="173">
        <v>24358</v>
      </c>
      <c r="M22" s="173">
        <v>24358</v>
      </c>
      <c r="N22" s="173">
        <v>24358</v>
      </c>
      <c r="O22" s="173">
        <v>24358</v>
      </c>
      <c r="P22" s="173">
        <v>24358</v>
      </c>
      <c r="Q22" s="173">
        <v>24358</v>
      </c>
      <c r="R22" s="173">
        <v>24358</v>
      </c>
      <c r="S22" s="155"/>
      <c r="T22" s="161"/>
      <c r="U22" s="3">
        <f t="shared" si="2"/>
        <v>0</v>
      </c>
      <c r="V22" s="155"/>
    </row>
    <row r="23" spans="1:22">
      <c r="A23" s="6"/>
      <c r="B23" s="10" t="s">
        <v>524</v>
      </c>
      <c r="C23" s="10" t="s">
        <v>33</v>
      </c>
      <c r="D23" s="10" t="s">
        <v>526</v>
      </c>
      <c r="E23" s="10" t="s">
        <v>529</v>
      </c>
      <c r="F23" s="6">
        <v>0</v>
      </c>
      <c r="G23" s="173">
        <v>24358</v>
      </c>
      <c r="H23" s="173">
        <v>24358</v>
      </c>
      <c r="I23" s="173">
        <v>24358</v>
      </c>
      <c r="J23" s="173">
        <v>24358</v>
      </c>
      <c r="K23" s="173">
        <v>24358</v>
      </c>
      <c r="L23" s="173">
        <v>24358</v>
      </c>
      <c r="M23" s="173">
        <v>24358</v>
      </c>
      <c r="N23" s="173">
        <v>24358</v>
      </c>
      <c r="O23" s="173">
        <v>24358</v>
      </c>
      <c r="P23" s="173">
        <v>24358</v>
      </c>
      <c r="Q23" s="173">
        <v>24358</v>
      </c>
      <c r="R23" s="173">
        <v>24358</v>
      </c>
      <c r="S23" s="155"/>
      <c r="T23" s="161"/>
      <c r="U23" s="3">
        <f t="shared" si="2"/>
        <v>0</v>
      </c>
      <c r="V23" s="155"/>
    </row>
    <row r="24" spans="1:22">
      <c r="A24" s="6"/>
      <c r="B24" s="10" t="s">
        <v>524</v>
      </c>
      <c r="C24" s="10" t="s">
        <v>33</v>
      </c>
      <c r="D24" s="10" t="s">
        <v>526</v>
      </c>
      <c r="E24" s="10" t="s">
        <v>529</v>
      </c>
      <c r="F24" s="6">
        <v>0</v>
      </c>
      <c r="G24" s="173">
        <v>24358</v>
      </c>
      <c r="H24" s="173">
        <v>24358</v>
      </c>
      <c r="I24" s="173">
        <v>24358</v>
      </c>
      <c r="J24" s="173">
        <v>24358</v>
      </c>
      <c r="K24" s="173">
        <v>24358</v>
      </c>
      <c r="L24" s="173">
        <v>24358</v>
      </c>
      <c r="M24" s="173">
        <v>24358</v>
      </c>
      <c r="N24" s="173">
        <v>24358</v>
      </c>
      <c r="O24" s="173">
        <v>24358</v>
      </c>
      <c r="P24" s="173">
        <v>24358</v>
      </c>
      <c r="Q24" s="173">
        <v>24358</v>
      </c>
      <c r="R24" s="173">
        <v>24358</v>
      </c>
      <c r="S24" s="155"/>
      <c r="T24" s="161"/>
      <c r="U24" s="3">
        <f t="shared" si="2"/>
        <v>0</v>
      </c>
      <c r="V24" s="155"/>
    </row>
    <row r="25" spans="1:22">
      <c r="A25" s="6"/>
      <c r="B25" s="10" t="s">
        <v>524</v>
      </c>
      <c r="C25" s="10" t="s">
        <v>33</v>
      </c>
      <c r="D25" s="10" t="s">
        <v>526</v>
      </c>
      <c r="E25" s="10" t="s">
        <v>284</v>
      </c>
      <c r="F25" s="6">
        <v>0</v>
      </c>
      <c r="G25" s="194">
        <v>39742</v>
      </c>
      <c r="H25" s="194">
        <v>39742</v>
      </c>
      <c r="I25" s="194">
        <v>39742</v>
      </c>
      <c r="J25" s="194">
        <v>39742</v>
      </c>
      <c r="K25" s="194">
        <v>39742</v>
      </c>
      <c r="L25" s="194">
        <v>39742</v>
      </c>
      <c r="M25" s="194">
        <v>39742</v>
      </c>
      <c r="N25" s="194">
        <v>39742</v>
      </c>
      <c r="O25" s="194">
        <v>39742</v>
      </c>
      <c r="P25" s="194">
        <v>39742</v>
      </c>
      <c r="Q25" s="194">
        <v>39742</v>
      </c>
      <c r="R25" s="194">
        <v>39742</v>
      </c>
      <c r="S25" s="155"/>
      <c r="T25" s="161"/>
      <c r="U25" s="3">
        <f t="shared" si="2"/>
        <v>0</v>
      </c>
      <c r="V25" s="155"/>
    </row>
    <row r="26" spans="1:22">
      <c r="A26" s="6"/>
      <c r="B26" s="10" t="s">
        <v>524</v>
      </c>
      <c r="C26" s="10" t="s">
        <v>33</v>
      </c>
      <c r="D26" s="10" t="s">
        <v>526</v>
      </c>
      <c r="E26" s="10" t="s">
        <v>284</v>
      </c>
      <c r="F26" s="6">
        <v>0</v>
      </c>
      <c r="G26" s="194">
        <v>39742</v>
      </c>
      <c r="H26" s="194">
        <v>39742</v>
      </c>
      <c r="I26" s="194">
        <v>39742</v>
      </c>
      <c r="J26" s="194">
        <v>39742</v>
      </c>
      <c r="K26" s="194">
        <v>39742</v>
      </c>
      <c r="L26" s="194">
        <v>39742</v>
      </c>
      <c r="M26" s="194">
        <v>39742</v>
      </c>
      <c r="N26" s="194">
        <v>39742</v>
      </c>
      <c r="O26" s="194">
        <v>39742</v>
      </c>
      <c r="P26" s="194">
        <v>39742</v>
      </c>
      <c r="Q26" s="194">
        <v>39742</v>
      </c>
      <c r="R26" s="194">
        <v>39742</v>
      </c>
      <c r="S26" s="155"/>
      <c r="T26" s="161"/>
      <c r="U26" s="3">
        <f t="shared" si="2"/>
        <v>0</v>
      </c>
      <c r="V26" s="155"/>
    </row>
    <row r="27" spans="1:22" hidden="1"/>
    <row r="28" spans="1:22" hidden="1"/>
    <row r="29" spans="1:22" hidden="1"/>
    <row r="30" spans="1:22" hidden="1"/>
    <row r="31" spans="1:22" hidden="1"/>
    <row r="32" spans="1:2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spans="7:7" hidden="1"/>
    <row r="482" spans="7:7" hidden="1"/>
    <row r="483" spans="7:7" hidden="1"/>
    <row r="484" spans="7:7"/>
    <row r="485" spans="7:7">
      <c r="G485" s="195"/>
    </row>
    <row r="486" spans="7:7"/>
    <row r="487" spans="7:7"/>
    <row r="488" spans="7:7"/>
    <row r="489" spans="7:7"/>
    <row r="490" spans="7:7"/>
    <row r="491" spans="7:7"/>
    <row r="492" spans="7:7"/>
    <row r="493" spans="7:7"/>
    <row r="494" spans="7:7"/>
    <row r="495" spans="7:7"/>
    <row r="496" spans="7:7"/>
    <row r="497"/>
    <row r="498"/>
    <row r="499"/>
    <row r="500"/>
  </sheetData>
  <mergeCells count="1">
    <mergeCell ref="U8:U11"/>
  </mergeCells>
  <conditionalFormatting sqref="G16:R26">
    <cfRule type="cellIs" dxfId="7" priority="18" operator="greaterThan">
      <formula>0</formula>
    </cfRule>
  </conditionalFormatting>
  <conditionalFormatting sqref="U12 U16:U26">
    <cfRule type="cellIs" dxfId="6" priority="16" stopIfTrue="1" operator="greaterThan">
      <formula>0</formula>
    </cfRule>
    <cfRule type="cellIs" dxfId="5" priority="17" stopIfTrue="1" operator="lessThan">
      <formula>0</formula>
    </cfRule>
  </conditionalFormatting>
  <conditionalFormatting sqref="E1">
    <cfRule type="cellIs" dxfId="4" priority="1" operator="equal">
      <formula>0</formula>
    </cfRule>
    <cfRule type="cellIs" dxfId="3" priority="12" stopIfTrue="1" operator="greaterThan">
      <formula>0</formula>
    </cfRule>
    <cfRule type="cellIs" dxfId="2" priority="13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00"/>
  <sheetViews>
    <sheetView showGridLines="0" zoomScale="90" zoomScaleNormal="90" workbookViewId="0">
      <selection activeCell="D6" sqref="D6"/>
    </sheetView>
  </sheetViews>
  <sheetFormatPr defaultRowHeight="15" zeroHeight="1"/>
  <cols>
    <col min="2" max="2" width="8.85546875" bestFit="1" customWidth="1"/>
    <col min="3" max="3" width="12.42578125" bestFit="1" customWidth="1"/>
    <col min="4" max="4" width="11.28515625" bestFit="1" customWidth="1"/>
    <col min="5" max="5" width="15" bestFit="1" customWidth="1"/>
    <col min="6" max="6" width="7.140625" bestFit="1" customWidth="1"/>
    <col min="7" max="7" width="12.42578125" bestFit="1" customWidth="1"/>
    <col min="8" max="8" width="12.5703125" bestFit="1" customWidth="1"/>
    <col min="9" max="9" width="12.7109375" bestFit="1" customWidth="1"/>
    <col min="10" max="10" width="12.5703125" bestFit="1" customWidth="1"/>
    <col min="11" max="11" width="13" bestFit="1" customWidth="1"/>
    <col min="12" max="12" width="12.42578125" bestFit="1" customWidth="1"/>
    <col min="13" max="13" width="11.7109375" bestFit="1" customWidth="1"/>
    <col min="14" max="15" width="12.85546875" bestFit="1" customWidth="1"/>
    <col min="16" max="16" width="12.42578125" bestFit="1" customWidth="1"/>
    <col min="17" max="18" width="12.85546875" bestFit="1" customWidth="1"/>
    <col min="19" max="19" width="1.7109375" customWidth="1"/>
    <col min="20" max="20" width="0.85546875" customWidth="1"/>
    <col min="21" max="21" width="6.7109375" customWidth="1"/>
    <col min="22" max="22" width="1.7109375" customWidth="1"/>
  </cols>
  <sheetData>
    <row r="1" spans="1:22">
      <c r="A1" s="2" t="s">
        <v>481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>
      <c r="A2" s="130" t="s">
        <v>2</v>
      </c>
    </row>
    <row r="3" spans="1:22">
      <c r="A3" s="131" t="s">
        <v>480</v>
      </c>
    </row>
    <row r="4" spans="1:22">
      <c r="A4" s="131" t="s">
        <v>482</v>
      </c>
    </row>
    <row r="5" spans="1:22"/>
    <row r="6" spans="1:22">
      <c r="D6" s="3">
        <v>1</v>
      </c>
    </row>
    <row r="7" spans="1:22"/>
    <row r="8" spans="1:22"/>
    <row r="9" spans="1:22"/>
    <row r="10" spans="1:22"/>
    <row r="11" spans="1:22"/>
    <row r="12" spans="1:22"/>
    <row r="13" spans="1:22"/>
    <row r="14" spans="1:22"/>
    <row r="15" spans="1:22"/>
    <row r="16" spans="1:2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</sheetData>
  <conditionalFormatting sqref="D6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showGridLines="0" workbookViewId="0">
      <selection activeCell="G7" sqref="G7"/>
    </sheetView>
  </sheetViews>
  <sheetFormatPr defaultRowHeight="15"/>
  <cols>
    <col min="1" max="1" width="4" customWidth="1"/>
    <col min="2" max="2" width="31.85546875" customWidth="1"/>
    <col min="3" max="3" width="39.7109375" customWidth="1"/>
  </cols>
  <sheetData>
    <row r="1" spans="2:3" ht="15.75" thickBot="1"/>
    <row r="2" spans="2:3" ht="16.5" thickBot="1">
      <c r="B2" s="221" t="s">
        <v>545</v>
      </c>
      <c r="C2" s="222" t="s">
        <v>546</v>
      </c>
    </row>
    <row r="3" spans="2:3" ht="45.75" thickBot="1">
      <c r="B3" s="213" t="s">
        <v>614</v>
      </c>
      <c r="C3" s="214" t="s">
        <v>606</v>
      </c>
    </row>
    <row r="4" spans="2:3" ht="60.75" thickBot="1">
      <c r="B4" s="215" t="s">
        <v>613</v>
      </c>
      <c r="C4" s="216" t="s">
        <v>547</v>
      </c>
    </row>
    <row r="5" spans="2:3" ht="77.25" customHeight="1" thickBot="1">
      <c r="B5" s="216" t="s">
        <v>607</v>
      </c>
      <c r="C5" s="216" t="s">
        <v>610</v>
      </c>
    </row>
    <row r="6" spans="2:3" ht="60" customHeight="1" thickBot="1">
      <c r="B6" s="217" t="s">
        <v>615</v>
      </c>
      <c r="C6" s="216" t="s">
        <v>608</v>
      </c>
    </row>
    <row r="7" spans="2:3" ht="66.75" customHeight="1" thickBot="1">
      <c r="B7" s="218" t="s">
        <v>616</v>
      </c>
      <c r="C7" s="217" t="s">
        <v>609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"/>
  <sheetViews>
    <sheetView showGridLines="0" topLeftCell="A2" zoomScale="80" zoomScaleNormal="80" workbookViewId="0">
      <selection activeCell="X21" sqref="X21"/>
    </sheetView>
  </sheetViews>
  <sheetFormatPr defaultRowHeight="15"/>
  <sheetData>
    <row r="6" ht="11.25" customHeight="1"/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8"/>
  <sheetViews>
    <sheetView showGridLines="0" topLeftCell="A2" workbookViewId="0">
      <selection activeCell="I8" sqref="I8"/>
    </sheetView>
  </sheetViews>
  <sheetFormatPr defaultRowHeight="15"/>
  <cols>
    <col min="1" max="1" width="6.42578125" customWidth="1"/>
    <col min="2" max="2" width="36.85546875" customWidth="1"/>
    <col min="3" max="3" width="11.140625" bestFit="1" customWidth="1"/>
    <col min="4" max="4" width="11.85546875" customWidth="1"/>
    <col min="5" max="5" width="44.5703125" customWidth="1"/>
  </cols>
  <sheetData>
    <row r="2" spans="2:5" ht="15.75" thickBot="1"/>
    <row r="3" spans="2:5" ht="16.5" thickBot="1">
      <c r="B3" s="221" t="s">
        <v>560</v>
      </c>
      <c r="C3" s="222" t="s">
        <v>548</v>
      </c>
      <c r="D3" s="222" t="s">
        <v>549</v>
      </c>
      <c r="E3" s="222" t="s">
        <v>550</v>
      </c>
    </row>
    <row r="4" spans="2:5" ht="80.25" customHeight="1" thickBot="1">
      <c r="B4" s="216" t="s">
        <v>622</v>
      </c>
      <c r="C4" s="216" t="s">
        <v>551</v>
      </c>
      <c r="D4" s="216" t="s">
        <v>552</v>
      </c>
      <c r="E4" s="216" t="s">
        <v>553</v>
      </c>
    </row>
    <row r="5" spans="2:5" ht="30.75" thickBot="1">
      <c r="B5" s="217" t="s">
        <v>623</v>
      </c>
      <c r="C5" s="223" t="s">
        <v>555</v>
      </c>
      <c r="D5" s="223" t="s">
        <v>556</v>
      </c>
      <c r="E5" s="223" t="s">
        <v>611</v>
      </c>
    </row>
    <row r="6" spans="2:5" ht="61.5" customHeight="1" thickBot="1">
      <c r="B6" s="213" t="s">
        <v>619</v>
      </c>
      <c r="C6" s="214" t="s">
        <v>555</v>
      </c>
      <c r="D6" s="214" t="s">
        <v>555</v>
      </c>
      <c r="E6" s="214" t="s">
        <v>612</v>
      </c>
    </row>
    <row r="7" spans="2:5" ht="30.75" thickBot="1">
      <c r="B7" s="213" t="s">
        <v>620</v>
      </c>
      <c r="C7" s="214" t="s">
        <v>556</v>
      </c>
      <c r="D7" s="214" t="s">
        <v>555</v>
      </c>
      <c r="E7" s="214" t="s">
        <v>617</v>
      </c>
    </row>
    <row r="8" spans="2:5" ht="50.25" customHeight="1" thickBot="1">
      <c r="B8" s="217" t="s">
        <v>621</v>
      </c>
      <c r="C8" s="217" t="s">
        <v>556</v>
      </c>
      <c r="D8" s="217" t="s">
        <v>555</v>
      </c>
      <c r="E8" s="217" t="s">
        <v>618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"/>
  <sheetViews>
    <sheetView showGridLines="0" workbookViewId="0">
      <selection activeCell="D5" sqref="D5"/>
    </sheetView>
  </sheetViews>
  <sheetFormatPr defaultRowHeight="15"/>
  <cols>
    <col min="1" max="1" width="5.140625" customWidth="1"/>
    <col min="2" max="2" width="50" customWidth="1"/>
    <col min="3" max="3" width="10.28515625" customWidth="1"/>
    <col min="4" max="4" width="48.42578125" customWidth="1"/>
  </cols>
  <sheetData>
    <row r="1" spans="2:4" ht="15.75" thickBot="1"/>
    <row r="2" spans="2:4" ht="16.5" thickBot="1">
      <c r="B2" s="219" t="s">
        <v>29</v>
      </c>
      <c r="C2" s="220" t="s">
        <v>561</v>
      </c>
      <c r="D2" s="220" t="s">
        <v>565</v>
      </c>
    </row>
    <row r="3" spans="2:4" ht="30.75" thickBot="1">
      <c r="B3" s="213" t="s">
        <v>624</v>
      </c>
      <c r="C3" s="214" t="s">
        <v>556</v>
      </c>
      <c r="D3" s="214" t="s">
        <v>626</v>
      </c>
    </row>
    <row r="4" spans="2:4" ht="45.75" thickBot="1">
      <c r="B4" s="213" t="s">
        <v>625</v>
      </c>
      <c r="C4" s="214" t="s">
        <v>555</v>
      </c>
      <c r="D4" s="214" t="s">
        <v>627</v>
      </c>
    </row>
    <row r="5" spans="2:4" ht="30.75" thickBot="1">
      <c r="B5" s="213" t="s">
        <v>562</v>
      </c>
      <c r="C5" s="214" t="s">
        <v>556</v>
      </c>
      <c r="D5" s="214" t="s">
        <v>563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7"/>
  <sheetViews>
    <sheetView showGridLines="0" workbookViewId="0">
      <selection activeCell="H7" sqref="H7"/>
    </sheetView>
  </sheetViews>
  <sheetFormatPr defaultRowHeight="15"/>
  <cols>
    <col min="1" max="1" width="7" customWidth="1"/>
    <col min="2" max="2" width="30.42578125" customWidth="1"/>
    <col min="3" max="3" width="11.140625" bestFit="1" customWidth="1"/>
    <col min="4" max="4" width="10" bestFit="1" customWidth="1"/>
    <col min="5" max="5" width="37.28515625" customWidth="1"/>
  </cols>
  <sheetData>
    <row r="1" spans="2:5" ht="15.75" thickBot="1"/>
    <row r="2" spans="2:5" ht="16.5" thickBot="1">
      <c r="B2" s="221" t="s">
        <v>566</v>
      </c>
      <c r="C2" s="222" t="s">
        <v>548</v>
      </c>
      <c r="D2" s="222" t="s">
        <v>549</v>
      </c>
      <c r="E2" s="222" t="s">
        <v>550</v>
      </c>
    </row>
    <row r="3" spans="2:5" ht="60.75" thickBot="1">
      <c r="B3" s="217" t="s">
        <v>628</v>
      </c>
      <c r="C3" s="217" t="s">
        <v>551</v>
      </c>
      <c r="D3" s="217" t="s">
        <v>552</v>
      </c>
      <c r="E3" s="217" t="s">
        <v>629</v>
      </c>
    </row>
    <row r="4" spans="2:5" ht="30.75" thickBot="1">
      <c r="B4" s="213" t="s">
        <v>554</v>
      </c>
      <c r="C4" s="214" t="s">
        <v>555</v>
      </c>
      <c r="D4" s="214" t="s">
        <v>556</v>
      </c>
      <c r="E4" s="214" t="s">
        <v>611</v>
      </c>
    </row>
    <row r="5" spans="2:5" ht="45.75" thickBot="1">
      <c r="B5" s="213" t="s">
        <v>557</v>
      </c>
      <c r="C5" s="214" t="s">
        <v>551</v>
      </c>
      <c r="D5" s="214" t="s">
        <v>555</v>
      </c>
      <c r="E5" s="214" t="s">
        <v>612</v>
      </c>
    </row>
    <row r="6" spans="2:5" ht="45.75" thickBot="1">
      <c r="B6" s="213" t="s">
        <v>558</v>
      </c>
      <c r="C6" s="214" t="s">
        <v>556</v>
      </c>
      <c r="D6" s="214" t="s">
        <v>555</v>
      </c>
      <c r="E6" s="214" t="s">
        <v>630</v>
      </c>
    </row>
    <row r="7" spans="2:5" ht="45.75" thickBot="1">
      <c r="B7" s="217" t="s">
        <v>559</v>
      </c>
      <c r="C7" s="217" t="s">
        <v>555</v>
      </c>
      <c r="D7" s="217" t="s">
        <v>555</v>
      </c>
      <c r="E7" s="217" t="s">
        <v>631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4"/>
  <sheetViews>
    <sheetView showGridLines="0" workbookViewId="0">
      <selection activeCell="H13" sqref="H13"/>
    </sheetView>
  </sheetViews>
  <sheetFormatPr defaultRowHeight="15"/>
  <cols>
    <col min="1" max="1" width="5" customWidth="1"/>
    <col min="2" max="2" width="42.42578125" customWidth="1"/>
    <col min="3" max="3" width="8.140625" bestFit="1" customWidth="1"/>
    <col min="4" max="4" width="44.140625" customWidth="1"/>
  </cols>
  <sheetData>
    <row r="1" spans="2:4" ht="15.75" thickBot="1"/>
    <row r="2" spans="2:4" ht="15.75" thickBot="1">
      <c r="B2" s="224" t="s">
        <v>29</v>
      </c>
      <c r="C2" s="225" t="s">
        <v>561</v>
      </c>
      <c r="D2" s="225" t="s">
        <v>564</v>
      </c>
    </row>
    <row r="3" spans="2:4" ht="30.75" thickBot="1">
      <c r="B3" s="213" t="s">
        <v>624</v>
      </c>
      <c r="C3" s="214" t="s">
        <v>556</v>
      </c>
      <c r="D3" s="214" t="s">
        <v>626</v>
      </c>
    </row>
    <row r="4" spans="2:4" ht="30.75" thickBot="1">
      <c r="B4" s="213" t="s">
        <v>562</v>
      </c>
      <c r="C4" s="214" t="s">
        <v>556</v>
      </c>
      <c r="D4" s="214" t="s">
        <v>563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3"/>
  <sheetViews>
    <sheetView showGridLines="0" tabSelected="1" workbookViewId="0">
      <selection activeCell="H9" sqref="H9"/>
    </sheetView>
  </sheetViews>
  <sheetFormatPr defaultRowHeight="12.75"/>
  <cols>
    <col min="1" max="1" width="4.85546875" style="111" customWidth="1"/>
    <col min="2" max="2" width="37.140625" style="111" bestFit="1" customWidth="1"/>
    <col min="3" max="16384" width="9.140625" style="111"/>
  </cols>
  <sheetData>
    <row r="2" spans="2:8" ht="13.5" thickBot="1"/>
    <row r="3" spans="2:8" ht="13.5" thickBot="1">
      <c r="B3" s="196"/>
      <c r="C3" s="244" t="s">
        <v>530</v>
      </c>
      <c r="D3" s="245"/>
      <c r="E3" s="246"/>
      <c r="F3" s="244" t="s">
        <v>531</v>
      </c>
      <c r="G3" s="245"/>
      <c r="H3" s="246"/>
    </row>
    <row r="4" spans="2:8" ht="13.5" thickBot="1">
      <c r="B4" s="200" t="s">
        <v>543</v>
      </c>
      <c r="C4" s="198" t="s">
        <v>532</v>
      </c>
      <c r="D4" s="198" t="s">
        <v>533</v>
      </c>
      <c r="E4" s="198" t="s">
        <v>290</v>
      </c>
      <c r="F4" s="198" t="s">
        <v>532</v>
      </c>
      <c r="G4" s="198" t="s">
        <v>533</v>
      </c>
      <c r="H4" s="198" t="s">
        <v>290</v>
      </c>
    </row>
    <row r="5" spans="2:8">
      <c r="B5" s="199" t="s">
        <v>534</v>
      </c>
      <c r="C5" s="203">
        <v>7</v>
      </c>
      <c r="D5" s="204">
        <v>1</v>
      </c>
      <c r="E5" s="204">
        <f>C5*D5</f>
        <v>7</v>
      </c>
      <c r="F5" s="205">
        <v>6</v>
      </c>
      <c r="G5" s="204">
        <v>1</v>
      </c>
      <c r="H5" s="204">
        <f>F5*G5</f>
        <v>6</v>
      </c>
    </row>
    <row r="6" spans="2:8">
      <c r="B6" s="197" t="s">
        <v>535</v>
      </c>
      <c r="C6" s="206">
        <v>9</v>
      </c>
      <c r="D6" s="207">
        <v>1.5</v>
      </c>
      <c r="E6" s="208">
        <f>C6*D6</f>
        <v>13.5</v>
      </c>
      <c r="F6" s="208">
        <v>9</v>
      </c>
      <c r="G6" s="207">
        <v>1.5</v>
      </c>
      <c r="H6" s="208">
        <f>F6*G6</f>
        <v>13.5</v>
      </c>
    </row>
    <row r="7" spans="2:8">
      <c r="B7" s="199" t="s">
        <v>542</v>
      </c>
      <c r="C7" s="206">
        <v>6</v>
      </c>
      <c r="D7" s="207">
        <v>1.3</v>
      </c>
      <c r="E7" s="208">
        <f t="shared" ref="E7:E12" si="0">C7*D7</f>
        <v>7.8000000000000007</v>
      </c>
      <c r="F7" s="208">
        <v>4</v>
      </c>
      <c r="G7" s="207">
        <v>1.3</v>
      </c>
      <c r="H7" s="208">
        <f t="shared" ref="H7:H12" si="1">F7*G7</f>
        <v>5.2</v>
      </c>
    </row>
    <row r="8" spans="2:8">
      <c r="B8" s="199" t="s">
        <v>536</v>
      </c>
      <c r="C8" s="206">
        <v>5</v>
      </c>
      <c r="D8" s="207">
        <v>1</v>
      </c>
      <c r="E8" s="208">
        <f t="shared" si="0"/>
        <v>5</v>
      </c>
      <c r="F8" s="208">
        <v>3</v>
      </c>
      <c r="G8" s="207">
        <v>1</v>
      </c>
      <c r="H8" s="208">
        <f t="shared" si="1"/>
        <v>3</v>
      </c>
    </row>
    <row r="9" spans="2:8">
      <c r="B9" s="199" t="s">
        <v>537</v>
      </c>
      <c r="C9" s="206">
        <v>2</v>
      </c>
      <c r="D9" s="207">
        <v>1</v>
      </c>
      <c r="E9" s="208">
        <f t="shared" si="0"/>
        <v>2</v>
      </c>
      <c r="F9" s="208">
        <v>8</v>
      </c>
      <c r="G9" s="207">
        <v>1</v>
      </c>
      <c r="H9" s="208">
        <f t="shared" si="1"/>
        <v>8</v>
      </c>
    </row>
    <row r="10" spans="2:8">
      <c r="B10" s="199" t="s">
        <v>538</v>
      </c>
      <c r="C10" s="206">
        <v>7</v>
      </c>
      <c r="D10" s="207">
        <v>0.7</v>
      </c>
      <c r="E10" s="208">
        <f t="shared" si="0"/>
        <v>4.8999999999999995</v>
      </c>
      <c r="F10" s="208">
        <v>5</v>
      </c>
      <c r="G10" s="207">
        <v>0.7</v>
      </c>
      <c r="H10" s="208">
        <f t="shared" si="1"/>
        <v>3.5</v>
      </c>
    </row>
    <row r="11" spans="2:8">
      <c r="B11" s="199" t="s">
        <v>539</v>
      </c>
      <c r="C11" s="206">
        <v>6</v>
      </c>
      <c r="D11" s="207">
        <v>1.4</v>
      </c>
      <c r="E11" s="208">
        <f t="shared" si="0"/>
        <v>8.3999999999999986</v>
      </c>
      <c r="F11" s="208">
        <v>8</v>
      </c>
      <c r="G11" s="207">
        <v>1.4</v>
      </c>
      <c r="H11" s="208">
        <f t="shared" si="1"/>
        <v>11.2</v>
      </c>
    </row>
    <row r="12" spans="2:8" ht="13.5" thickBot="1">
      <c r="B12" s="199" t="s">
        <v>540</v>
      </c>
      <c r="C12" s="209">
        <v>6</v>
      </c>
      <c r="D12" s="210">
        <v>1.5</v>
      </c>
      <c r="E12" s="211">
        <f t="shared" si="0"/>
        <v>9</v>
      </c>
      <c r="F12" s="211">
        <v>9</v>
      </c>
      <c r="G12" s="210">
        <v>1.5</v>
      </c>
      <c r="H12" s="211">
        <f t="shared" si="1"/>
        <v>13.5</v>
      </c>
    </row>
    <row r="13" spans="2:8" ht="13.5" thickBot="1">
      <c r="B13" s="201" t="s">
        <v>541</v>
      </c>
      <c r="C13" s="212">
        <f>SUM(C5:C12)</f>
        <v>48</v>
      </c>
      <c r="D13" s="212"/>
      <c r="E13" s="212">
        <f>SUM(E5:E12)</f>
        <v>57.599999999999994</v>
      </c>
      <c r="F13" s="212">
        <f>SUM(F5:F12)</f>
        <v>52</v>
      </c>
      <c r="G13" s="202"/>
      <c r="H13" s="212">
        <f>SUM(H5:H12)</f>
        <v>63.900000000000006</v>
      </c>
    </row>
  </sheetData>
  <mergeCells count="2">
    <mergeCell ref="C3:E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99</vt:i4>
      </vt:variant>
    </vt:vector>
  </HeadingPairs>
  <TitlesOfParts>
    <vt:vector size="122" baseType="lpstr">
      <vt:lpstr>Figure 6-1</vt:lpstr>
      <vt:lpstr>Figure 6-2</vt:lpstr>
      <vt:lpstr>Figure 6-3</vt:lpstr>
      <vt:lpstr>Figure 6-4</vt:lpstr>
      <vt:lpstr>Figure 6-5</vt:lpstr>
      <vt:lpstr>Figure 6-6</vt:lpstr>
      <vt:lpstr>Figure 6-7</vt:lpstr>
      <vt:lpstr>Figure 6-8</vt:lpstr>
      <vt:lpstr>Figure 6-9</vt:lpstr>
      <vt:lpstr>Figure 6-10</vt:lpstr>
      <vt:lpstr>Figure 6-11</vt:lpstr>
      <vt:lpstr>Figure 6-12</vt:lpstr>
      <vt:lpstr>Figure 6-13</vt:lpstr>
      <vt:lpstr>Figure 6-14</vt:lpstr>
      <vt:lpstr>Figure 6-15</vt:lpstr>
      <vt:lpstr>Figure 6-18</vt:lpstr>
      <vt:lpstr>Figure 6-20</vt:lpstr>
      <vt:lpstr>Figure 6-21</vt:lpstr>
      <vt:lpstr>Figure 6-22</vt:lpstr>
      <vt:lpstr>Figure 6-23</vt:lpstr>
      <vt:lpstr>Figure 6-24</vt:lpstr>
      <vt:lpstr>Figure 6-25</vt:lpstr>
      <vt:lpstr>Figure 6-26</vt:lpstr>
      <vt:lpstr>'Figure 6-8'!_PLA2</vt:lpstr>
      <vt:lpstr>_PLA2</vt:lpstr>
      <vt:lpstr>'Figure 6-9'!Accounting</vt:lpstr>
      <vt:lpstr>Accounting</vt:lpstr>
      <vt:lpstr>'Figure 6-6'!Annual_Summary</vt:lpstr>
      <vt:lpstr>'Figure 6-9'!CapitalYears</vt:lpstr>
      <vt:lpstr>CapitalYears</vt:lpstr>
      <vt:lpstr>'Figure 6-6'!CompanyYear</vt:lpstr>
      <vt:lpstr>'Figure 6-9'!ContractDurationIn</vt:lpstr>
      <vt:lpstr>ContractDurationIn</vt:lpstr>
      <vt:lpstr>'Figure 6-9'!ContractEndDateIn</vt:lpstr>
      <vt:lpstr>ContractEndDateIn</vt:lpstr>
      <vt:lpstr>'Figure 6-9'!ContractStartDateIn</vt:lpstr>
      <vt:lpstr>ContractStartDateIn</vt:lpstr>
      <vt:lpstr>'Figure 6-9'!CostClass</vt:lpstr>
      <vt:lpstr>CostClass</vt:lpstr>
      <vt:lpstr>'Figure 6-9'!CostNAme</vt:lpstr>
      <vt:lpstr>CostNAme</vt:lpstr>
      <vt:lpstr>'Figure 6-9'!CostPhase</vt:lpstr>
      <vt:lpstr>CostPhase</vt:lpstr>
      <vt:lpstr>'Figure 6-9'!CostPhase_Switches</vt:lpstr>
      <vt:lpstr>CostPhase_Switches</vt:lpstr>
      <vt:lpstr>'Figure 6-9'!CostType</vt:lpstr>
      <vt:lpstr>CostType</vt:lpstr>
      <vt:lpstr>'Figure 6-9'!CostType_Switches</vt:lpstr>
      <vt:lpstr>CostType_Switches</vt:lpstr>
      <vt:lpstr>'Figure 6-9'!CU</vt:lpstr>
      <vt:lpstr>CU</vt:lpstr>
      <vt:lpstr>'Figure 6-9'!CUList</vt:lpstr>
      <vt:lpstr>CUList</vt:lpstr>
      <vt:lpstr>'Figure 6-9'!Currency</vt:lpstr>
      <vt:lpstr>Currency</vt:lpstr>
      <vt:lpstr>'Figure 6-6'!DateToMth</vt:lpstr>
      <vt:lpstr>'Figure 6-9'!DinM</vt:lpstr>
      <vt:lpstr>DinM</vt:lpstr>
      <vt:lpstr>'Figure 6-9'!EndOfSheet</vt:lpstr>
      <vt:lpstr>EndOfSheet</vt:lpstr>
      <vt:lpstr>'Figure 6-9'!ErrTol</vt:lpstr>
      <vt:lpstr>ErrTol</vt:lpstr>
      <vt:lpstr>'Figure 6-6'!FromDate</vt:lpstr>
      <vt:lpstr>'Figure 6-9'!GMTable</vt:lpstr>
      <vt:lpstr>GMTable</vt:lpstr>
      <vt:lpstr>'Figure 6-9'!InBidName</vt:lpstr>
      <vt:lpstr>InBidName</vt:lpstr>
      <vt:lpstr>'Figure 6-9'!InBuinessUnit</vt:lpstr>
      <vt:lpstr>InBuinessUnit</vt:lpstr>
      <vt:lpstr>'Figure 6-9'!InClientName</vt:lpstr>
      <vt:lpstr>InClientName</vt:lpstr>
      <vt:lpstr>'Figure 6-9'!InCompanyYearEndDate</vt:lpstr>
      <vt:lpstr>InCompanyYearEndDate</vt:lpstr>
      <vt:lpstr>'Figure 6-9'!InCompanyYearStartDate</vt:lpstr>
      <vt:lpstr>InCompanyYearStartDate</vt:lpstr>
      <vt:lpstr>'Figure 6-9'!InContractDuration</vt:lpstr>
      <vt:lpstr>InContractDuration</vt:lpstr>
      <vt:lpstr>'Figure 6-9'!InContractEndDate</vt:lpstr>
      <vt:lpstr>InContractEndDate</vt:lpstr>
      <vt:lpstr>'Figure 6-9'!InContractStartDate</vt:lpstr>
      <vt:lpstr>InContractStartDate</vt:lpstr>
      <vt:lpstr>'Figure 6-9'!InIndustrySector</vt:lpstr>
      <vt:lpstr>InIndustrySector</vt:lpstr>
      <vt:lpstr>'Figure 6-9'!InPreContractPeriodDuration</vt:lpstr>
      <vt:lpstr>InPreContractPeriodDuration</vt:lpstr>
      <vt:lpstr>'Figure 6-9'!InPreContractStartDate</vt:lpstr>
      <vt:lpstr>InPreContractStartDate</vt:lpstr>
      <vt:lpstr>'Figure 6-9'!KMult</vt:lpstr>
      <vt:lpstr>KMult</vt:lpstr>
      <vt:lpstr>'Figure 6-9'!Margins</vt:lpstr>
      <vt:lpstr>Margins</vt:lpstr>
      <vt:lpstr>'Figure 6-9'!ModelStage</vt:lpstr>
      <vt:lpstr>ModelStage</vt:lpstr>
      <vt:lpstr>'Figure 6-6'!MonthListIn</vt:lpstr>
      <vt:lpstr>'Figure 6-9'!MonthsYear</vt:lpstr>
      <vt:lpstr>MonthsYear</vt:lpstr>
      <vt:lpstr>'Figure 6-9'!P_A</vt:lpstr>
      <vt:lpstr>P_A</vt:lpstr>
      <vt:lpstr>'Figure 6-9'!PaymentType</vt:lpstr>
      <vt:lpstr>PaymentType</vt:lpstr>
      <vt:lpstr>'Figure 6-6'!PeriodCounter</vt:lpstr>
      <vt:lpstr>'Figure 6-6'!PeriodNoMth</vt:lpstr>
      <vt:lpstr>'Figure 6-8'!PLA2A</vt:lpstr>
      <vt:lpstr>PLA2A</vt:lpstr>
      <vt:lpstr>'Figure 6-6'!PreContractPeriodDuration</vt:lpstr>
      <vt:lpstr>'Figure 6-9'!PreContractPeriodDurationIn</vt:lpstr>
      <vt:lpstr>PreContractPeriodDurationIn</vt:lpstr>
      <vt:lpstr>'Figure 6-7'!Print_Area</vt:lpstr>
      <vt:lpstr>'Figure 6-8'!Print_Area</vt:lpstr>
      <vt:lpstr>'Figure 6-7'!Print_Titles</vt:lpstr>
      <vt:lpstr>'Figure 6-8'!Print_Titles</vt:lpstr>
      <vt:lpstr>'Figure 6-9'!RRList</vt:lpstr>
      <vt:lpstr>RRList</vt:lpstr>
      <vt:lpstr>'Figure 6-9'!ServiceLine</vt:lpstr>
      <vt:lpstr>ServiceLine</vt:lpstr>
      <vt:lpstr>'Figure 6-9'!ServiceLine_Switches</vt:lpstr>
      <vt:lpstr>ServiceLine_Switches</vt:lpstr>
      <vt:lpstr>'Figure 6-6'!TimeLines</vt:lpstr>
      <vt:lpstr>'Figure 6-9'!Value</vt:lpstr>
      <vt:lpstr>Value</vt:lpstr>
      <vt:lpstr>'Figure 6-6'!YearCounter</vt:lpstr>
      <vt:lpstr>'Figure 6-6'!YearDesc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Jacl</cp:lastModifiedBy>
  <dcterms:created xsi:type="dcterms:W3CDTF">2013-06-11T13:59:10Z</dcterms:created>
  <dcterms:modified xsi:type="dcterms:W3CDTF">2013-10-26T23:36:05Z</dcterms:modified>
</cp:coreProperties>
</file>