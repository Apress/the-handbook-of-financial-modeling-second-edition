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35" windowWidth="7635" windowHeight="1320"/>
  </bookViews>
  <sheets>
    <sheet name="Figure 11-1" sheetId="7" r:id="rId1"/>
    <sheet name="Figure 11-4" sheetId="12" r:id="rId2"/>
    <sheet name="Figure 11-5" sheetId="11" r:id="rId3"/>
    <sheet name="Figure 11-6" sheetId="13" r:id="rId4"/>
    <sheet name="Figure 11-8" sheetId="14" r:id="rId5"/>
    <sheet name="Figure 11-10" sheetId="16" r:id="rId6"/>
    <sheet name="Figure 11-11" sheetId="17" r:id="rId7"/>
    <sheet name="Figure 11-12" sheetId="18" r:id="rId8"/>
    <sheet name="Figure 11-15" sheetId="19" r:id="rId9"/>
    <sheet name="Figure 11-19" sheetId="20" r:id="rId10"/>
    <sheet name="Figure 11-20" sheetId="22" r:id="rId11"/>
    <sheet name="Figure 11-22" sheetId="21" r:id="rId12"/>
    <sheet name="Figure 11-23" sheetId="23" r:id="rId13"/>
    <sheet name="Figure 11-24" sheetId="24" r:id="rId14"/>
    <sheet name="Figure 11-25" sheetId="25" r:id="rId15"/>
  </sheets>
  <definedNames>
    <definedName name="_xlnm._FilterDatabase" localSheetId="9" hidden="1">'Figure 11-19'!$B$11:$F$20</definedName>
    <definedName name="_xlnm._FilterDatabase" localSheetId="10" hidden="1">'Figure 11-20'!#REF!</definedName>
    <definedName name="_xlnm._FilterDatabase" localSheetId="11" hidden="1">'Figure 11-22'!#REF!</definedName>
    <definedName name="Calc_Mask">'Figure 11-12'!$H$7:$Q$7</definedName>
    <definedName name="_xlnm.Criteria" localSheetId="10">'Figure 11-20'!$B$4:$C$5</definedName>
    <definedName name="_xlnm.Criteria" localSheetId="11">'Figure 11-22'!$B$12:$C$13</definedName>
    <definedName name="_xlnm.Criteria">'Figure 11-19'!$B$4:$C$5</definedName>
    <definedName name="Inp_DirectCosts">'Figure 11-6'!$D$8:$K$8</definedName>
    <definedName name="Inp_Expenses">'Figure 11-6'!$D$11:$K$11</definedName>
    <definedName name="Inp_Income">'Figure 11-6'!$D$5:$K$5</definedName>
    <definedName name="Inp_Incomes">'Figure 11-8'!$D$5:$K$5</definedName>
    <definedName name="Inp_Inflation">'Figure 11-6'!$D$15:$K$15</definedName>
    <definedName name="Input_Income" localSheetId="5">'Figure 11-10'!$D$5:$K$5</definedName>
    <definedName name="Input_SalesTax">'Figure 11-10'!$D$8:$K$8</definedName>
    <definedName name="Life">'Figure 11-15'!$D$6</definedName>
  </definedNames>
  <calcPr calcId="144525"/>
</workbook>
</file>

<file path=xl/calcChain.xml><?xml version="1.0" encoding="utf-8"?>
<calcChain xmlns="http://schemas.openxmlformats.org/spreadsheetml/2006/main">
  <c r="L7" i="18" l="1"/>
  <c r="M7" i="18"/>
  <c r="N7" i="18"/>
  <c r="O7" i="18"/>
  <c r="P7" i="18"/>
  <c r="Q7" i="18"/>
  <c r="I7" i="18"/>
  <c r="J7" i="18"/>
  <c r="K7" i="18"/>
  <c r="H7" i="18"/>
  <c r="C26" i="25" l="1"/>
  <c r="C39" i="25" s="1"/>
  <c r="D25" i="25"/>
  <c r="D24" i="25"/>
  <c r="C23" i="25"/>
  <c r="C36" i="25" s="1"/>
  <c r="D22" i="25"/>
  <c r="D21" i="25"/>
  <c r="C20" i="25"/>
  <c r="C33" i="25" s="1"/>
  <c r="C19" i="25"/>
  <c r="C32" i="25" s="1"/>
  <c r="C18" i="25"/>
  <c r="C31" i="25" s="1"/>
  <c r="D17" i="25"/>
  <c r="C29" i="25"/>
  <c r="D29" i="25" s="1"/>
  <c r="C16" i="25"/>
  <c r="D16" i="25" s="1"/>
  <c r="C3" i="25"/>
  <c r="D3" i="25" s="1"/>
  <c r="C24" i="25" l="1"/>
  <c r="C37" i="25" s="1"/>
  <c r="D37" i="25" s="1"/>
  <c r="C21" i="25"/>
  <c r="C34" i="25" s="1"/>
  <c r="D34" i="25" s="1"/>
  <c r="D23" i="25"/>
  <c r="D36" i="25" s="1"/>
  <c r="D20" i="25"/>
  <c r="D33" i="25" s="1"/>
  <c r="C25" i="25"/>
  <c r="C38" i="25" s="1"/>
  <c r="D38" i="25" s="1"/>
  <c r="C22" i="25"/>
  <c r="C35" i="25" s="1"/>
  <c r="D35" i="25" s="1"/>
  <c r="D26" i="25"/>
  <c r="D39" i="25" s="1"/>
  <c r="D19" i="25"/>
  <c r="D32" i="25" s="1"/>
  <c r="C17" i="25"/>
  <c r="C30" i="25" s="1"/>
  <c r="D30" i="25" s="1"/>
  <c r="D18" i="25"/>
  <c r="D31" i="25" s="1"/>
  <c r="E16" i="23" l="1"/>
  <c r="E16" i="24"/>
  <c r="E11" i="24"/>
  <c r="E14" i="24"/>
  <c r="H14" i="24"/>
  <c r="G14" i="24"/>
  <c r="F14" i="24"/>
  <c r="H14" i="23"/>
  <c r="G14" i="23"/>
  <c r="F14" i="23"/>
  <c r="E14" i="23"/>
  <c r="E11" i="23"/>
  <c r="E32" i="20" l="1"/>
  <c r="E35" i="20"/>
  <c r="D7" i="21" s="1"/>
  <c r="E34" i="20"/>
  <c r="E7" i="21" s="1"/>
  <c r="E33" i="20"/>
  <c r="C7" i="21" s="1"/>
  <c r="B7" i="21"/>
  <c r="E29" i="20"/>
  <c r="E28" i="20"/>
  <c r="E27" i="20"/>
  <c r="C26" i="19" l="1"/>
  <c r="D13" i="19"/>
  <c r="B26" i="19"/>
  <c r="F25" i="19"/>
  <c r="E25" i="19"/>
  <c r="D25" i="19"/>
  <c r="C25" i="19"/>
  <c r="C19" i="19"/>
  <c r="C18" i="19"/>
  <c r="C17" i="19"/>
  <c r="C16" i="19"/>
  <c r="C15" i="19"/>
  <c r="C14" i="19"/>
  <c r="B14" i="19"/>
  <c r="B27" i="19" s="1"/>
  <c r="F13" i="19"/>
  <c r="E13" i="19"/>
  <c r="C13" i="19"/>
  <c r="E26" i="19" l="1"/>
  <c r="E14" i="19"/>
  <c r="D26" i="19"/>
  <c r="F26" i="19"/>
  <c r="C27" i="19"/>
  <c r="C28" i="19" s="1"/>
  <c r="C29" i="19" s="1"/>
  <c r="C30" i="19" s="1"/>
  <c r="C31" i="19" s="1"/>
  <c r="C32" i="19" s="1"/>
  <c r="B15" i="19"/>
  <c r="F14" i="19"/>
  <c r="D14" i="19"/>
  <c r="E27" i="19" l="1"/>
  <c r="F27" i="19"/>
  <c r="D27" i="19"/>
  <c r="B16" i="19"/>
  <c r="D15" i="19"/>
  <c r="F15" i="19"/>
  <c r="F28" i="19" s="1"/>
  <c r="E15" i="19"/>
  <c r="B28" i="19"/>
  <c r="E28" i="19" l="1"/>
  <c r="D28" i="19"/>
  <c r="F16" i="19"/>
  <c r="F29" i="19" s="1"/>
  <c r="B29" i="19"/>
  <c r="B17" i="19"/>
  <c r="E16" i="19"/>
  <c r="D16" i="19"/>
  <c r="E29" i="19" l="1"/>
  <c r="D29" i="19"/>
  <c r="E17" i="19"/>
  <c r="B30" i="19"/>
  <c r="D17" i="19"/>
  <c r="B18" i="19"/>
  <c r="F17" i="19"/>
  <c r="F30" i="19" s="1"/>
  <c r="E30" i="19" l="1"/>
  <c r="D30" i="19"/>
  <c r="B31" i="19"/>
  <c r="D18" i="19"/>
  <c r="F18" i="19"/>
  <c r="F31" i="19" s="1"/>
  <c r="E18" i="19"/>
  <c r="B19" i="19"/>
  <c r="E31" i="19" l="1"/>
  <c r="D31" i="19"/>
  <c r="D19" i="19"/>
  <c r="F19" i="19"/>
  <c r="F32" i="19" s="1"/>
  <c r="E19" i="19"/>
  <c r="E32" i="19" s="1"/>
  <c r="B32" i="19"/>
  <c r="D32" i="19" l="1"/>
  <c r="M18" i="18" l="1"/>
  <c r="N21" i="18"/>
  <c r="O21" i="18"/>
  <c r="P19" i="18"/>
  <c r="I25" i="18"/>
  <c r="J25" i="18"/>
  <c r="K25" i="18"/>
  <c r="P25" i="18" s="1"/>
  <c r="H25" i="18"/>
  <c r="K14" i="18"/>
  <c r="Q13" i="18"/>
  <c r="L13" i="18"/>
  <c r="L21" i="18" s="1"/>
  <c r="P12" i="18"/>
  <c r="P14" i="18" s="1"/>
  <c r="O12" i="18"/>
  <c r="O14" i="18" s="1"/>
  <c r="N12" i="18"/>
  <c r="N14" i="18" s="1"/>
  <c r="M12" i="18"/>
  <c r="M14" i="18" s="1"/>
  <c r="J12" i="18"/>
  <c r="J14" i="18" s="1"/>
  <c r="I12" i="18"/>
  <c r="I14" i="18" s="1"/>
  <c r="I22" i="18" s="1"/>
  <c r="H12" i="18"/>
  <c r="Q11" i="18"/>
  <c r="L11" i="18"/>
  <c r="Q10" i="18"/>
  <c r="L10" i="18"/>
  <c r="F11" i="17"/>
  <c r="I9" i="17"/>
  <c r="I11" i="17" s="1"/>
  <c r="J9" i="17"/>
  <c r="J11" i="17" s="1"/>
  <c r="K9" i="17"/>
  <c r="K11" i="17" s="1"/>
  <c r="H9" i="17"/>
  <c r="D9" i="17"/>
  <c r="D11" i="17" s="1"/>
  <c r="E9" i="17"/>
  <c r="C9" i="17"/>
  <c r="C11" i="17" s="1"/>
  <c r="L8" i="17"/>
  <c r="L10" i="17"/>
  <c r="G8" i="17"/>
  <c r="G10" i="17"/>
  <c r="L7" i="17"/>
  <c r="G7" i="17"/>
  <c r="F15" i="16"/>
  <c r="G15" i="16"/>
  <c r="H15" i="16"/>
  <c r="I15" i="16"/>
  <c r="J15" i="16"/>
  <c r="K15" i="16"/>
  <c r="L15" i="16"/>
  <c r="E15" i="16"/>
  <c r="F16" i="16"/>
  <c r="G16" i="16"/>
  <c r="H16" i="16"/>
  <c r="I16" i="16"/>
  <c r="J16" i="16"/>
  <c r="K16" i="16"/>
  <c r="L16" i="16"/>
  <c r="E16" i="16"/>
  <c r="Q18" i="18" l="1"/>
  <c r="O22" i="18"/>
  <c r="I20" i="18"/>
  <c r="L18" i="16"/>
  <c r="Q19" i="18"/>
  <c r="M22" i="18"/>
  <c r="J19" i="18"/>
  <c r="N22" i="18"/>
  <c r="Q21" i="18"/>
  <c r="H18" i="18"/>
  <c r="I19" i="18"/>
  <c r="K18" i="16"/>
  <c r="L18" i="18"/>
  <c r="E18" i="16"/>
  <c r="I18" i="16"/>
  <c r="L19" i="18"/>
  <c r="P22" i="18"/>
  <c r="H19" i="18"/>
  <c r="M19" i="18"/>
  <c r="N18" i="18"/>
  <c r="H18" i="16"/>
  <c r="G18" i="16"/>
  <c r="J18" i="16"/>
  <c r="F18" i="16"/>
  <c r="H20" i="18"/>
  <c r="N19" i="18"/>
  <c r="O18" i="18"/>
  <c r="K22" i="18"/>
  <c r="K18" i="18"/>
  <c r="J22" i="18"/>
  <c r="K21" i="18"/>
  <c r="J18" i="18"/>
  <c r="H21" i="18"/>
  <c r="M21" i="18"/>
  <c r="I21" i="18"/>
  <c r="N20" i="18"/>
  <c r="J20" i="18"/>
  <c r="O19" i="18"/>
  <c r="K19" i="18"/>
  <c r="P18" i="18"/>
  <c r="P21" i="18"/>
  <c r="M20" i="18"/>
  <c r="P20" i="18"/>
  <c r="J21" i="18"/>
  <c r="O20" i="18"/>
  <c r="K20" i="18"/>
  <c r="I18" i="18"/>
  <c r="K28" i="18"/>
  <c r="P28" i="18" s="1"/>
  <c r="K26" i="18"/>
  <c r="P26" i="18" s="1"/>
  <c r="J29" i="18"/>
  <c r="O29" i="18" s="1"/>
  <c r="J26" i="18"/>
  <c r="O26" i="18" s="1"/>
  <c r="J27" i="18"/>
  <c r="O27" i="18" s="1"/>
  <c r="J28" i="18"/>
  <c r="O28" i="18" s="1"/>
  <c r="K29" i="18"/>
  <c r="P29" i="18" s="1"/>
  <c r="K27" i="18"/>
  <c r="P27" i="18" s="1"/>
  <c r="I29" i="18"/>
  <c r="N29" i="18" s="1"/>
  <c r="I28" i="18"/>
  <c r="N28" i="18" s="1"/>
  <c r="I27" i="18"/>
  <c r="N27" i="18" s="1"/>
  <c r="I26" i="18"/>
  <c r="N26" i="18" s="1"/>
  <c r="H29" i="18"/>
  <c r="M29" i="18" s="1"/>
  <c r="H28" i="18"/>
  <c r="M28" i="18" s="1"/>
  <c r="H27" i="18"/>
  <c r="M27" i="18" s="1"/>
  <c r="H26" i="18"/>
  <c r="M26" i="18" s="1"/>
  <c r="L27" i="18"/>
  <c r="Q27" i="18" s="1"/>
  <c r="N25" i="18"/>
  <c r="L28" i="18"/>
  <c r="Q28" i="18" s="1"/>
  <c r="M25" i="18"/>
  <c r="O25" i="18"/>
  <c r="L25" i="18"/>
  <c r="Q25" i="18" s="1"/>
  <c r="L26" i="18"/>
  <c r="Q26" i="18" s="1"/>
  <c r="L12" i="18"/>
  <c r="L20" i="18" s="1"/>
  <c r="H14" i="18"/>
  <c r="H22" i="18" s="1"/>
  <c r="L14" i="18"/>
  <c r="L22" i="18" s="1"/>
  <c r="Q14" i="18"/>
  <c r="Q22" i="18" s="1"/>
  <c r="Q12" i="18"/>
  <c r="Q20" i="18" s="1"/>
  <c r="L11" i="17"/>
  <c r="G9" i="17"/>
  <c r="L9" i="17"/>
  <c r="H11" i="17"/>
  <c r="E11" i="17"/>
  <c r="G11" i="17"/>
  <c r="E31" i="13"/>
  <c r="F31" i="13"/>
  <c r="G31" i="13"/>
  <c r="H31" i="13"/>
  <c r="I31" i="13"/>
  <c r="J31" i="13"/>
  <c r="K31" i="13"/>
  <c r="D31" i="13"/>
  <c r="E30" i="13"/>
  <c r="F30" i="13"/>
  <c r="G30" i="13"/>
  <c r="H30" i="13"/>
  <c r="I30" i="13"/>
  <c r="J30" i="13"/>
  <c r="K30" i="13"/>
  <c r="D30" i="13"/>
  <c r="E29" i="13"/>
  <c r="F29" i="13"/>
  <c r="G29" i="13"/>
  <c r="H29" i="13"/>
  <c r="I29" i="13"/>
  <c r="J29" i="13"/>
  <c r="K29" i="13"/>
  <c r="D29" i="13"/>
  <c r="E28" i="13"/>
  <c r="F28" i="13"/>
  <c r="G28" i="13"/>
  <c r="H28" i="13"/>
  <c r="I28" i="13"/>
  <c r="J28" i="13"/>
  <c r="K28" i="13"/>
  <c r="D28" i="13"/>
  <c r="E27" i="13"/>
  <c r="F27" i="13"/>
  <c r="G27" i="13"/>
  <c r="H27" i="13"/>
  <c r="I27" i="13"/>
  <c r="J27" i="13"/>
  <c r="K27" i="13"/>
  <c r="D27" i="13"/>
  <c r="B31" i="13"/>
  <c r="B30" i="13"/>
  <c r="B29" i="13"/>
  <c r="B28" i="13"/>
  <c r="A13" i="11"/>
  <c r="A10" i="11"/>
  <c r="A7" i="11"/>
  <c r="F13" i="11"/>
  <c r="G13" i="11"/>
  <c r="H13" i="11"/>
  <c r="E13" i="11"/>
  <c r="F10" i="11"/>
  <c r="G10" i="11"/>
  <c r="H10" i="11"/>
  <c r="E10" i="11"/>
  <c r="F7" i="11"/>
  <c r="G7" i="11"/>
  <c r="H7" i="11"/>
  <c r="E7" i="11"/>
  <c r="F16" i="12"/>
  <c r="G16" i="12" s="1"/>
  <c r="G11" i="7"/>
  <c r="H11" i="7"/>
  <c r="F11" i="7"/>
  <c r="F21" i="7"/>
  <c r="G21" i="7"/>
  <c r="H21" i="7"/>
  <c r="E21" i="7"/>
  <c r="F18" i="7"/>
  <c r="G18" i="7"/>
  <c r="H18" i="7"/>
  <c r="E18" i="7"/>
  <c r="F15" i="7"/>
  <c r="G15" i="7"/>
  <c r="H15" i="7"/>
  <c r="E15" i="7"/>
  <c r="A21" i="7"/>
  <c r="A18" i="7"/>
  <c r="A15" i="7"/>
  <c r="L29" i="18" l="1"/>
  <c r="Q29" i="18" s="1"/>
  <c r="H16" i="12"/>
</calcChain>
</file>

<file path=xl/sharedStrings.xml><?xml version="1.0" encoding="utf-8"?>
<sst xmlns="http://schemas.openxmlformats.org/spreadsheetml/2006/main" count="303" uniqueCount="127">
  <si>
    <t>Gross Profit</t>
  </si>
  <si>
    <t>Direct Costs</t>
  </si>
  <si>
    <t>NonSuch Financial Model</t>
  </si>
  <si>
    <t>Sales price</t>
  </si>
  <si>
    <t>1.00 Income</t>
  </si>
  <si>
    <t>Financial year</t>
  </si>
  <si>
    <t>Model Inputs</t>
  </si>
  <si>
    <t>Model Calculations</t>
  </si>
  <si>
    <t>Purchase costs</t>
  </si>
  <si>
    <t>Input Links</t>
  </si>
  <si>
    <t>2.00 Purchases</t>
  </si>
  <si>
    <t>Units purchased</t>
  </si>
  <si>
    <t>Unit purchased x Units purchase price</t>
  </si>
  <si>
    <t>Units purchase price</t>
  </si>
  <si>
    <t>No of hours worked</t>
  </si>
  <si>
    <t>Sales price x Sales units</t>
  </si>
  <si>
    <t>END</t>
  </si>
  <si>
    <t>Assumptions &amp; Inputs Refs</t>
  </si>
  <si>
    <t>Calculations</t>
  </si>
  <si>
    <t>Income</t>
  </si>
  <si>
    <t>Yr1</t>
  </si>
  <si>
    <t>Yr2</t>
  </si>
  <si>
    <t>Yr3</t>
  </si>
  <si>
    <t>Yr4</t>
  </si>
  <si>
    <t>Yr5</t>
  </si>
  <si>
    <t>Yr6</t>
  </si>
  <si>
    <t>Yr7</t>
  </si>
  <si>
    <t>Yr8</t>
  </si>
  <si>
    <t>Direct costs</t>
  </si>
  <si>
    <t>Inputs</t>
  </si>
  <si>
    <t>Expenses</t>
  </si>
  <si>
    <t>Inflation</t>
  </si>
  <si>
    <t>Inp_Income</t>
  </si>
  <si>
    <t>Inp_DirectCosts</t>
  </si>
  <si>
    <t>Inp_Expenses</t>
  </si>
  <si>
    <t>Inp_Inflation</t>
  </si>
  <si>
    <t>Input_Income</t>
  </si>
  <si>
    <t>Sales Tax</t>
  </si>
  <si>
    <t>Input_SalesTax</t>
  </si>
  <si>
    <t>Actual Income</t>
  </si>
  <si>
    <t>Income with Sales Tax</t>
  </si>
  <si>
    <t>Quarter 1</t>
  </si>
  <si>
    <t>Quarter 2</t>
  </si>
  <si>
    <t>Quarter 3</t>
  </si>
  <si>
    <t>Quarter 4</t>
  </si>
  <si>
    <t>Year 1 Total</t>
  </si>
  <si>
    <t>Year 2 Total</t>
  </si>
  <si>
    <t>Net profit/(Loss)</t>
  </si>
  <si>
    <t>Outputs</t>
  </si>
  <si>
    <t>Mask</t>
  </si>
  <si>
    <t>Net profit calculation (Annual)</t>
  </si>
  <si>
    <t>Net profit calculation</t>
  </si>
  <si>
    <t>Net profit calculation (Quarters)</t>
  </si>
  <si>
    <t>Asset:</t>
  </si>
  <si>
    <t>Original Cost:</t>
  </si>
  <si>
    <t>Salvage Value:</t>
  </si>
  <si>
    <t>Depreciation Amount</t>
  </si>
  <si>
    <t>Year</t>
  </si>
  <si>
    <t>SLN</t>
  </si>
  <si>
    <t>DB</t>
  </si>
  <si>
    <t>DDB</t>
  </si>
  <si>
    <t>SYD</t>
  </si>
  <si>
    <t>Value of Asset</t>
  </si>
  <si>
    <t>Printer</t>
  </si>
  <si>
    <t>Depreciation Calculation</t>
  </si>
  <si>
    <t>Month</t>
  </si>
  <si>
    <t>Region</t>
  </si>
  <si>
    <t>Feb</t>
  </si>
  <si>
    <t>Jan</t>
  </si>
  <si>
    <t>Randy</t>
  </si>
  <si>
    <t>Employee</t>
  </si>
  <si>
    <t>Annual Earnings</t>
  </si>
  <si>
    <t>Susan</t>
  </si>
  <si>
    <t>Chris</t>
  </si>
  <si>
    <t>Jamie</t>
  </si>
  <si>
    <t>Anil</t>
  </si>
  <si>
    <t>Yasmin</t>
  </si>
  <si>
    <t>Vladimir</t>
  </si>
  <si>
    <t>Jason</t>
  </si>
  <si>
    <t>Coreen</t>
  </si>
  <si>
    <t>Northern</t>
  </si>
  <si>
    <t>Western</t>
  </si>
  <si>
    <t>Eastern</t>
  </si>
  <si>
    <t>Southern</t>
  </si>
  <si>
    <t>Age</t>
  </si>
  <si>
    <t>Inputs (User)</t>
  </si>
  <si>
    <t>Inputs (Data)</t>
  </si>
  <si>
    <t>Database Calculations</t>
  </si>
  <si>
    <t>Total for input selection</t>
  </si>
  <si>
    <t>Average for input selection</t>
  </si>
  <si>
    <t>Maximum for input selection</t>
  </si>
  <si>
    <t>Minimum for input selection</t>
  </si>
  <si>
    <t>Dashboard</t>
  </si>
  <si>
    <t>Choose data selection</t>
  </si>
  <si>
    <t>Total salary</t>
  </si>
  <si>
    <t>Average salary</t>
  </si>
  <si>
    <t>Interest/discount rate</t>
  </si>
  <si>
    <t>NPV function</t>
  </si>
  <si>
    <t>NPV</t>
  </si>
  <si>
    <t>Growth Data</t>
  </si>
  <si>
    <t>Index Data</t>
  </si>
  <si>
    <t>Hong Kong</t>
  </si>
  <si>
    <t>Brazil</t>
  </si>
  <si>
    <t>Russia</t>
  </si>
  <si>
    <t>China</t>
  </si>
  <si>
    <t>The Price of a Big Mac (In US$)</t>
  </si>
  <si>
    <t>United States</t>
  </si>
  <si>
    <t>Britain</t>
  </si>
  <si>
    <t>Australia</t>
  </si>
  <si>
    <t>Canada</t>
  </si>
  <si>
    <t>Norway</t>
  </si>
  <si>
    <t>South Africa</t>
  </si>
  <si>
    <t>Sales units (in 1,000s)</t>
  </si>
  <si>
    <t>Direct labor</t>
  </si>
  <si>
    <t>Average labor rate (per hour)</t>
  </si>
  <si>
    <t>Average labor rate x No of hours worked</t>
  </si>
  <si>
    <t>3.00 Labor</t>
  </si>
  <si>
    <t>Inp_Incomes</t>
  </si>
  <si>
    <t>Gross profit/(Loss)</t>
  </si>
  <si>
    <t>Calculation mask</t>
  </si>
  <si>
    <t>Life (Years):</t>
  </si>
  <si>
    <t>Time period</t>
  </si>
  <si>
    <t>Cash flows (In 1,000s)</t>
  </si>
  <si>
    <t>Discounted cash flows</t>
  </si>
  <si>
    <t>Sum of DCFs</t>
  </si>
  <si>
    <t>Minimum salary</t>
  </si>
  <si>
    <t>Maximum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</si>
</sst>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%"/>
    <numFmt numFmtId="165" formatCode="#,##0;[Red]\(#,##0\);&quot; - &quot;"/>
    <numFmt numFmtId="166" formatCode="&quot;$&quot;#,##0_);[Red]\(&quot;$&quot;#,##0\)"/>
    <numFmt numFmtId="167" formatCode="_(* #,##0.00_);_(* \(#,##0.00\);_(* &quot;-&quot;??_);_(@_)"/>
    <numFmt numFmtId="168" formatCode="_(* #,##0_);_(* \(#,##0\);_(* &quot;-&quot;??_);_(@_)"/>
    <numFmt numFmtId="169" formatCode="&quot;$&quot;#,##0.00_);[Red]\(&quot;$&quot;#,##0.00\)"/>
    <numFmt numFmtId="170" formatCode="#,##0;[Red]\(#,##0\)\,&quot; - &quot;"/>
    <numFmt numFmtId="171" formatCode="0.00;[Red]\(0.00\)"/>
    <numFmt numFmtId="172" formatCode="0.0000%"/>
    <numFmt numFmtId="173" formatCode="0.000000"/>
    <numFmt numFmtId="174" formatCode="0.0%;[Red]\(0.0%\);&quot; - &quot;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3" borderId="2" applyNumberFormat="0" applyFont="0" applyAlignment="0" applyProtection="0"/>
    <xf numFmtId="0" fontId="4" fillId="0" borderId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5" fillId="0" borderId="0" xfId="0" applyFont="1"/>
    <xf numFmtId="0" fontId="6" fillId="5" borderId="0" xfId="0" applyFont="1" applyFill="1"/>
    <xf numFmtId="0" fontId="6" fillId="4" borderId="0" xfId="0" applyFont="1" applyFill="1"/>
    <xf numFmtId="0" fontId="5" fillId="4" borderId="0" xfId="0" applyFont="1" applyFill="1"/>
    <xf numFmtId="0" fontId="7" fillId="6" borderId="1" xfId="0" applyFont="1" applyFill="1" applyBorder="1"/>
    <xf numFmtId="17" fontId="2" fillId="0" borderId="1" xfId="0" applyNumberFormat="1" applyFont="1" applyBorder="1" applyAlignment="1">
      <alignment horizontal="center"/>
    </xf>
    <xf numFmtId="0" fontId="8" fillId="0" borderId="0" xfId="0" applyFont="1"/>
    <xf numFmtId="3" fontId="5" fillId="2" borderId="2" xfId="1" applyNumberFormat="1" applyFont="1" applyFill="1"/>
    <xf numFmtId="3" fontId="9" fillId="2" borderId="2" xfId="1" applyNumberFormat="1" applyFont="1" applyFill="1"/>
    <xf numFmtId="17" fontId="2" fillId="0" borderId="0" xfId="0" applyNumberFormat="1" applyFont="1" applyBorder="1" applyAlignment="1">
      <alignment horizontal="center"/>
    </xf>
    <xf numFmtId="17" fontId="9" fillId="0" borderId="0" xfId="0" applyNumberFormat="1" applyFont="1" applyBorder="1" applyAlignment="1">
      <alignment horizontal="center"/>
    </xf>
    <xf numFmtId="4" fontId="5" fillId="0" borderId="3" xfId="0" applyNumberFormat="1" applyFont="1" applyBorder="1" applyAlignment="1">
      <alignment horizontal="center"/>
    </xf>
    <xf numFmtId="3" fontId="5" fillId="0" borderId="3" xfId="0" applyNumberFormat="1" applyFont="1" applyBorder="1" applyAlignment="1">
      <alignment horizontal="center"/>
    </xf>
    <xf numFmtId="0" fontId="6" fillId="7" borderId="1" xfId="0" applyFont="1" applyFill="1" applyBorder="1"/>
    <xf numFmtId="0" fontId="12" fillId="7" borderId="0" xfId="0" applyFont="1" applyFill="1"/>
    <xf numFmtId="0" fontId="6" fillId="7" borderId="0" xfId="0" applyFont="1" applyFill="1"/>
    <xf numFmtId="0" fontId="7" fillId="6" borderId="1" xfId="0" applyFont="1" applyFill="1" applyBorder="1" applyAlignment="1">
      <alignment horizontal="left"/>
    </xf>
    <xf numFmtId="0" fontId="6" fillId="4" borderId="0" xfId="0" applyFont="1" applyFill="1" applyAlignment="1">
      <alignment horizontal="center" wrapText="1"/>
    </xf>
    <xf numFmtId="17" fontId="2" fillId="0" borderId="1" xfId="0" applyNumberFormat="1" applyFont="1" applyBorder="1" applyAlignment="1">
      <alignment horizontal="center" wrapText="1"/>
    </xf>
    <xf numFmtId="0" fontId="10" fillId="8" borderId="0" xfId="0" applyFont="1" applyFill="1"/>
    <xf numFmtId="0" fontId="5" fillId="8" borderId="0" xfId="0" applyFont="1" applyFill="1"/>
    <xf numFmtId="17" fontId="2" fillId="8" borderId="4" xfId="0" applyNumberFormat="1" applyFont="1" applyFill="1" applyBorder="1" applyAlignment="1">
      <alignment horizontal="center"/>
    </xf>
    <xf numFmtId="17" fontId="2" fillId="8" borderId="5" xfId="0" applyNumberFormat="1" applyFont="1" applyFill="1" applyBorder="1" applyAlignment="1">
      <alignment horizontal="center"/>
    </xf>
    <xf numFmtId="0" fontId="13" fillId="5" borderId="0" xfId="0" applyFont="1" applyFill="1"/>
    <xf numFmtId="0" fontId="14" fillId="8" borderId="0" xfId="0" applyFont="1" applyFill="1"/>
    <xf numFmtId="0" fontId="7" fillId="9" borderId="1" xfId="0" applyFont="1" applyFill="1" applyBorder="1"/>
    <xf numFmtId="4" fontId="5" fillId="9" borderId="3" xfId="0" applyNumberFormat="1" applyFont="1" applyFill="1" applyBorder="1" applyAlignment="1">
      <alignment horizontal="center"/>
    </xf>
    <xf numFmtId="3" fontId="5" fillId="9" borderId="3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1" fillId="4" borderId="0" xfId="0" applyFont="1" applyFill="1"/>
    <xf numFmtId="164" fontId="9" fillId="2" borderId="2" xfId="1" applyNumberFormat="1" applyFont="1" applyFill="1"/>
    <xf numFmtId="3" fontId="9" fillId="3" borderId="2" xfId="1" applyNumberFormat="1" applyFont="1"/>
    <xf numFmtId="164" fontId="9" fillId="3" borderId="2" xfId="1" applyNumberFormat="1" applyFont="1"/>
    <xf numFmtId="3" fontId="9" fillId="6" borderId="2" xfId="1" applyNumberFormat="1" applyFont="1" applyFill="1"/>
    <xf numFmtId="164" fontId="9" fillId="6" borderId="2" xfId="1" applyNumberFormat="1" applyFont="1" applyFill="1"/>
    <xf numFmtId="0" fontId="9" fillId="0" borderId="1" xfId="0" applyFont="1" applyBorder="1"/>
    <xf numFmtId="165" fontId="5" fillId="6" borderId="1" xfId="0" applyNumberFormat="1" applyFont="1" applyFill="1" applyBorder="1"/>
    <xf numFmtId="165" fontId="9" fillId="6" borderId="1" xfId="0" applyNumberFormat="1" applyFont="1" applyFill="1" applyBorder="1"/>
    <xf numFmtId="0" fontId="9" fillId="0" borderId="1" xfId="0" applyFont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6" fillId="4" borderId="0" xfId="0" applyFont="1" applyFill="1" applyAlignment="1">
      <alignment horizontal="left"/>
    </xf>
    <xf numFmtId="0" fontId="16" fillId="0" borderId="0" xfId="0" applyFont="1"/>
    <xf numFmtId="0" fontId="17" fillId="10" borderId="6" xfId="0" applyFont="1" applyFill="1" applyBorder="1" applyAlignment="1">
      <alignment horizontal="center"/>
    </xf>
    <xf numFmtId="0" fontId="0" fillId="0" borderId="6" xfId="0" applyFill="1" applyBorder="1"/>
    <xf numFmtId="169" fontId="0" fillId="0" borderId="6" xfId="0" applyNumberFormat="1" applyFill="1" applyBorder="1"/>
    <xf numFmtId="169" fontId="0" fillId="0" borderId="0" xfId="0" applyNumberFormat="1"/>
    <xf numFmtId="0" fontId="2" fillId="0" borderId="6" xfId="0" applyFont="1" applyBorder="1" applyAlignment="1">
      <alignment horizontal="center"/>
    </xf>
    <xf numFmtId="0" fontId="15" fillId="7" borderId="0" xfId="0" applyFont="1" applyFill="1"/>
    <xf numFmtId="0" fontId="18" fillId="0" borderId="0" xfId="0" applyFont="1"/>
    <xf numFmtId="0" fontId="0" fillId="6" borderId="6" xfId="0" applyFill="1" applyBorder="1" applyAlignment="1">
      <alignment horizontal="center"/>
    </xf>
    <xf numFmtId="166" fontId="0" fillId="6" borderId="6" xfId="0" applyNumberFormat="1" applyFill="1" applyBorder="1" applyAlignment="1">
      <alignment horizontal="center"/>
    </xf>
    <xf numFmtId="168" fontId="0" fillId="6" borderId="6" xfId="3" applyNumberFormat="1" applyFont="1" applyFill="1" applyBorder="1" applyAlignment="1">
      <alignment horizontal="center"/>
    </xf>
    <xf numFmtId="168" fontId="0" fillId="0" borderId="0" xfId="3" applyNumberFormat="1" applyFont="1"/>
    <xf numFmtId="0" fontId="17" fillId="12" borderId="7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0" fillId="0" borderId="0" xfId="0" applyFont="1"/>
    <xf numFmtId="0" fontId="0" fillId="13" borderId="1" xfId="0" applyFont="1" applyFill="1" applyBorder="1" applyAlignment="1">
      <alignment horizontal="center"/>
    </xf>
    <xf numFmtId="0" fontId="11" fillId="5" borderId="0" xfId="0" applyFont="1" applyFill="1"/>
    <xf numFmtId="0" fontId="2" fillId="0" borderId="0" xfId="0" applyFont="1"/>
    <xf numFmtId="3" fontId="2" fillId="0" borderId="0" xfId="0" applyNumberFormat="1" applyFont="1"/>
    <xf numFmtId="0" fontId="17" fillId="2" borderId="7" xfId="0" applyFont="1" applyFill="1" applyBorder="1" applyAlignment="1">
      <alignment horizontal="center"/>
    </xf>
    <xf numFmtId="0" fontId="0" fillId="0" borderId="0" xfId="0" applyFont="1" applyFill="1" applyBorder="1"/>
    <xf numFmtId="170" fontId="17" fillId="2" borderId="7" xfId="0" applyNumberFormat="1" applyFont="1" applyFill="1" applyBorder="1" applyAlignment="1">
      <alignment horizontal="center"/>
    </xf>
    <xf numFmtId="3" fontId="0" fillId="13" borderId="1" xfId="0" applyNumberFormat="1" applyFont="1" applyFill="1" applyBorder="1" applyAlignment="1">
      <alignment horizontal="center"/>
    </xf>
    <xf numFmtId="3" fontId="0" fillId="0" borderId="0" xfId="0" applyNumberFormat="1" applyFont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0" fontId="10" fillId="0" borderId="16" xfId="0" applyFont="1" applyFill="1" applyBorder="1" applyAlignment="1">
      <alignment horizontal="center" wrapText="1"/>
    </xf>
    <xf numFmtId="0" fontId="10" fillId="0" borderId="17" xfId="0" applyFont="1" applyFill="1" applyBorder="1" applyAlignment="1">
      <alignment horizontal="center" wrapText="1"/>
    </xf>
    <xf numFmtId="0" fontId="10" fillId="0" borderId="18" xfId="0" applyFont="1" applyFill="1" applyBorder="1" applyAlignment="1">
      <alignment horizontal="center" wrapText="1"/>
    </xf>
    <xf numFmtId="3" fontId="0" fillId="6" borderId="14" xfId="0" applyNumberFormat="1" applyFont="1" applyFill="1" applyBorder="1"/>
    <xf numFmtId="3" fontId="0" fillId="6" borderId="1" xfId="0" applyNumberFormat="1" applyFont="1" applyFill="1" applyBorder="1"/>
    <xf numFmtId="3" fontId="0" fillId="6" borderId="15" xfId="0" applyNumberFormat="1" applyFont="1" applyFill="1" applyBorder="1"/>
    <xf numFmtId="0" fontId="19" fillId="0" borderId="0" xfId="2" applyFont="1"/>
    <xf numFmtId="0" fontId="21" fillId="0" borderId="0" xfId="2" applyFont="1"/>
    <xf numFmtId="171" fontId="19" fillId="0" borderId="0" xfId="2" applyNumberFormat="1" applyFont="1"/>
    <xf numFmtId="9" fontId="19" fillId="2" borderId="3" xfId="2" applyNumberFormat="1" applyFont="1" applyFill="1" applyBorder="1"/>
    <xf numFmtId="171" fontId="19" fillId="2" borderId="3" xfId="2" applyNumberFormat="1" applyFont="1" applyFill="1" applyBorder="1"/>
    <xf numFmtId="0" fontId="17" fillId="0" borderId="19" xfId="2" applyFont="1" applyBorder="1" applyAlignment="1">
      <alignment horizontal="center" vertical="center"/>
    </xf>
    <xf numFmtId="0" fontId="17" fillId="0" borderId="20" xfId="2" applyFont="1" applyBorder="1"/>
    <xf numFmtId="0" fontId="19" fillId="0" borderId="21" xfId="2" applyFont="1" applyBorder="1"/>
    <xf numFmtId="171" fontId="17" fillId="0" borderId="22" xfId="2" applyNumberFormat="1" applyFont="1" applyBorder="1"/>
    <xf numFmtId="0" fontId="11" fillId="7" borderId="0" xfId="2" applyFont="1" applyFill="1"/>
    <xf numFmtId="0" fontId="22" fillId="7" borderId="0" xfId="2" applyFont="1" applyFill="1"/>
    <xf numFmtId="0" fontId="20" fillId="0" borderId="0" xfId="0" applyFont="1"/>
    <xf numFmtId="0" fontId="0" fillId="0" borderId="6" xfId="0" applyFont="1" applyBorder="1"/>
    <xf numFmtId="0" fontId="17" fillId="11" borderId="6" xfId="0" applyFont="1" applyFill="1" applyBorder="1" applyAlignment="1">
      <alignment horizontal="center"/>
    </xf>
    <xf numFmtId="172" fontId="0" fillId="0" borderId="0" xfId="4" applyNumberFormat="1" applyFont="1"/>
    <xf numFmtId="1" fontId="0" fillId="0" borderId="0" xfId="0" applyNumberFormat="1" applyFont="1"/>
    <xf numFmtId="173" fontId="0" fillId="0" borderId="0" xfId="0" applyNumberFormat="1" applyFont="1"/>
    <xf numFmtId="0" fontId="17" fillId="0" borderId="0" xfId="0" applyFont="1"/>
    <xf numFmtId="0" fontId="17" fillId="0" borderId="6" xfId="0" applyFont="1" applyBorder="1"/>
    <xf numFmtId="10" fontId="0" fillId="0" borderId="6" xfId="0" applyNumberFormat="1" applyFont="1" applyBorder="1"/>
    <xf numFmtId="10" fontId="0" fillId="0" borderId="0" xfId="0" applyNumberFormat="1" applyFont="1"/>
    <xf numFmtId="0" fontId="0" fillId="0" borderId="0" xfId="0" applyAlignment="1">
      <alignment vertical="center" wrapText="1"/>
    </xf>
    <xf numFmtId="4" fontId="5" fillId="13" borderId="6" xfId="0" applyNumberFormat="1" applyFont="1" applyFill="1" applyBorder="1" applyAlignment="1">
      <alignment horizontal="right" vertical="center" wrapText="1"/>
    </xf>
    <xf numFmtId="4" fontId="5" fillId="13" borderId="6" xfId="0" applyNumberFormat="1" applyFont="1" applyFill="1" applyBorder="1" applyAlignment="1">
      <alignment horizontal="right"/>
    </xf>
    <xf numFmtId="0" fontId="17" fillId="0" borderId="6" xfId="0" applyFont="1" applyFill="1" applyBorder="1" applyAlignment="1">
      <alignment horizontal="center"/>
    </xf>
    <xf numFmtId="174" fontId="0" fillId="6" borderId="6" xfId="0" applyNumberFormat="1" applyFont="1" applyFill="1" applyBorder="1"/>
    <xf numFmtId="2" fontId="0" fillId="6" borderId="6" xfId="0" applyNumberFormat="1" applyFont="1" applyFill="1" applyBorder="1"/>
  </cellXfs>
  <cellStyles count="5">
    <cellStyle name="Comma 2" xfId="3"/>
    <cellStyle name="Normal" xfId="0" builtinId="0"/>
    <cellStyle name="Normal 2" xfId="2"/>
    <cellStyle name="Note" xfId="1" builtinId="10"/>
    <cellStyle name="Percent 2" xfId="4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7"/>
  <sheetViews>
    <sheetView showGridLines="0" tabSelected="1" zoomScale="90" zoomScaleNormal="90" workbookViewId="0">
      <selection activeCell="J21" sqref="J21"/>
    </sheetView>
  </sheetViews>
  <sheetFormatPr defaultColWidth="0" defaultRowHeight="12.75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7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19"/>
      <c r="B6" s="4" t="s">
        <v>9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18">
        <v>1.01</v>
      </c>
      <c r="C7" s="2" t="s">
        <v>3</v>
      </c>
      <c r="D7" s="12"/>
      <c r="E7" s="13">
        <v>22</v>
      </c>
      <c r="F7" s="13">
        <v>23</v>
      </c>
      <c r="G7" s="13">
        <v>23</v>
      </c>
      <c r="H7" s="13">
        <v>25</v>
      </c>
      <c r="N7"/>
    </row>
    <row r="8" spans="1:14" ht="15" x14ac:dyDescent="0.25">
      <c r="A8" s="18">
        <v>1.02</v>
      </c>
      <c r="C8" s="2" t="s">
        <v>112</v>
      </c>
      <c r="D8" s="12"/>
      <c r="E8" s="14">
        <v>500</v>
      </c>
      <c r="F8" s="14">
        <v>510</v>
      </c>
      <c r="G8" s="14">
        <v>505</v>
      </c>
      <c r="H8" s="14">
        <v>530</v>
      </c>
      <c r="N8"/>
    </row>
    <row r="9" spans="1:14" ht="15" x14ac:dyDescent="0.25">
      <c r="A9" s="18">
        <v>1.03</v>
      </c>
      <c r="C9" s="2" t="s">
        <v>11</v>
      </c>
      <c r="D9" s="11"/>
      <c r="E9" s="14">
        <v>600</v>
      </c>
      <c r="F9" s="14">
        <v>440</v>
      </c>
      <c r="G9" s="14">
        <v>490</v>
      </c>
      <c r="H9" s="14">
        <v>500</v>
      </c>
      <c r="N9"/>
    </row>
    <row r="10" spans="1:14" ht="15" x14ac:dyDescent="0.25">
      <c r="A10" s="18">
        <v>1.04</v>
      </c>
      <c r="C10" s="2" t="s">
        <v>13</v>
      </c>
      <c r="D10" s="11"/>
      <c r="E10" s="13">
        <v>14</v>
      </c>
      <c r="F10" s="13">
        <v>14.25</v>
      </c>
      <c r="G10" s="13">
        <v>14.4</v>
      </c>
      <c r="H10" s="13">
        <v>14.45</v>
      </c>
      <c r="N10"/>
    </row>
    <row r="11" spans="1:14" ht="15" x14ac:dyDescent="0.25">
      <c r="A11" s="18">
        <v>1.05</v>
      </c>
      <c r="C11" s="2" t="s">
        <v>114</v>
      </c>
      <c r="D11" s="11"/>
      <c r="E11" s="13">
        <v>7.25</v>
      </c>
      <c r="F11" s="13">
        <f>E11*1.05</f>
        <v>7.6125000000000007</v>
      </c>
      <c r="G11" s="13">
        <f t="shared" ref="G11:H11" si="0">F11*1.05</f>
        <v>7.9931250000000009</v>
      </c>
      <c r="H11" s="13">
        <f t="shared" si="0"/>
        <v>8.3927812500000005</v>
      </c>
      <c r="N11"/>
    </row>
    <row r="12" spans="1:14" ht="15" x14ac:dyDescent="0.25">
      <c r="A12" s="18">
        <v>1.06</v>
      </c>
      <c r="C12" s="2" t="s">
        <v>14</v>
      </c>
      <c r="D12" s="11"/>
      <c r="E12" s="14">
        <v>250</v>
      </c>
      <c r="F12" s="14">
        <v>252</v>
      </c>
      <c r="G12" s="14">
        <v>243</v>
      </c>
      <c r="H12" s="14">
        <v>255</v>
      </c>
      <c r="N12"/>
    </row>
    <row r="13" spans="1:14" ht="15" x14ac:dyDescent="0.25">
      <c r="A13"/>
      <c r="D13" s="11"/>
      <c r="E13" s="11"/>
      <c r="F13" s="11"/>
      <c r="G13" s="11"/>
      <c r="H13" s="11"/>
      <c r="N13"/>
    </row>
    <row r="14" spans="1:14" ht="15" x14ac:dyDescent="0.25">
      <c r="A14" s="5"/>
      <c r="B14" s="4" t="s">
        <v>4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/>
    </row>
    <row r="15" spans="1:14" ht="15" x14ac:dyDescent="0.25">
      <c r="A15" s="6" t="str">
        <f>A7&amp;" , "&amp;A8</f>
        <v>1.01 , 1.02</v>
      </c>
      <c r="C15" s="2" t="s">
        <v>3</v>
      </c>
      <c r="E15" s="9">
        <f>SUMPRODUCT(E7,E8)</f>
        <v>11000</v>
      </c>
      <c r="F15" s="9">
        <f t="shared" ref="F15:H15" si="1">SUMPRODUCT(F7,F8)</f>
        <v>11730</v>
      </c>
      <c r="G15" s="9">
        <f t="shared" si="1"/>
        <v>11615</v>
      </c>
      <c r="H15" s="9">
        <f t="shared" si="1"/>
        <v>13250</v>
      </c>
      <c r="J15" s="8" t="s">
        <v>15</v>
      </c>
      <c r="N15"/>
    </row>
    <row r="16" spans="1:14" ht="15" x14ac:dyDescent="0.25">
      <c r="A16"/>
      <c r="J16" s="8"/>
      <c r="N16"/>
    </row>
    <row r="17" spans="1:14" ht="15" x14ac:dyDescent="0.25">
      <c r="A17" s="5"/>
      <c r="B17" s="4" t="s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/>
    </row>
    <row r="18" spans="1:14" ht="15" x14ac:dyDescent="0.25">
      <c r="A18" s="6" t="str">
        <f>A9&amp;" , "&amp;A10</f>
        <v>1.03 , 1.04</v>
      </c>
      <c r="C18" s="2" t="s">
        <v>8</v>
      </c>
      <c r="E18" s="9">
        <f>SUMPRODUCT(E9,E10)</f>
        <v>8400</v>
      </c>
      <c r="F18" s="9">
        <f t="shared" ref="F18:H18" si="2">SUMPRODUCT(F9,F10)</f>
        <v>6270</v>
      </c>
      <c r="G18" s="9">
        <f t="shared" si="2"/>
        <v>7056</v>
      </c>
      <c r="H18" s="9">
        <f t="shared" si="2"/>
        <v>7225</v>
      </c>
      <c r="J18" s="8" t="s">
        <v>12</v>
      </c>
      <c r="N18"/>
    </row>
    <row r="19" spans="1:14" ht="15" x14ac:dyDescent="0.25">
      <c r="A19"/>
      <c r="J19" s="8"/>
      <c r="N19"/>
    </row>
    <row r="20" spans="1:14" ht="15" x14ac:dyDescent="0.25">
      <c r="A20" s="5"/>
      <c r="B20" s="4" t="s">
        <v>116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/>
    </row>
    <row r="21" spans="1:14" ht="15" x14ac:dyDescent="0.25">
      <c r="A21" s="6" t="str">
        <f>A11&amp;" , "&amp;A12</f>
        <v>1.05 , 1.06</v>
      </c>
      <c r="C21" s="2" t="s">
        <v>113</v>
      </c>
      <c r="E21" s="9">
        <f>SUMPRODUCT(E11,E12)</f>
        <v>1812.5</v>
      </c>
      <c r="F21" s="9">
        <f t="shared" ref="F21:H21" si="3">SUMPRODUCT(F11,F12)</f>
        <v>1918.3500000000001</v>
      </c>
      <c r="G21" s="9">
        <f t="shared" si="3"/>
        <v>1942.3293750000003</v>
      </c>
      <c r="H21" s="9">
        <f t="shared" si="3"/>
        <v>2140.15921875</v>
      </c>
      <c r="J21" s="8" t="s">
        <v>115</v>
      </c>
      <c r="N21"/>
    </row>
    <row r="22" spans="1:14" ht="15" x14ac:dyDescent="0.25">
      <c r="A22"/>
      <c r="N22"/>
    </row>
    <row r="23" spans="1:14" ht="15" x14ac:dyDescent="0.25">
      <c r="A23" s="15"/>
      <c r="B23" s="17" t="s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/>
    </row>
    <row r="24" spans="1:14" ht="15" x14ac:dyDescent="0.25">
      <c r="A24"/>
      <c r="N24"/>
    </row>
    <row r="25" spans="1:14" ht="15" hidden="1" x14ac:dyDescent="0.25">
      <c r="N25"/>
    </row>
    <row r="26" spans="1:14" ht="15" hidden="1" x14ac:dyDescent="0.25">
      <c r="N26"/>
    </row>
    <row r="27" spans="1:14" ht="15" hidden="1" x14ac:dyDescent="0.25">
      <c r="N27"/>
    </row>
    <row r="28" spans="1:14" ht="15" hidden="1" x14ac:dyDescent="0.25">
      <c r="N28"/>
    </row>
    <row r="29" spans="1:14" ht="15" hidden="1" x14ac:dyDescent="0.25">
      <c r="N29"/>
    </row>
    <row r="30" spans="1:14" ht="15" hidden="1" x14ac:dyDescent="0.25">
      <c r="N30"/>
    </row>
    <row r="31" spans="1:14" ht="15" hidden="1" x14ac:dyDescent="0.25">
      <c r="N31"/>
    </row>
    <row r="32" spans="1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5" hidden="1" x14ac:dyDescent="0.25">
      <c r="N150"/>
    </row>
    <row r="151" spans="14:14" ht="15" hidden="1" x14ac:dyDescent="0.25">
      <c r="N151"/>
    </row>
    <row r="152" spans="14:14" ht="15" hidden="1" x14ac:dyDescent="0.25">
      <c r="N152"/>
    </row>
    <row r="153" spans="14:14" ht="15" hidden="1" x14ac:dyDescent="0.25">
      <c r="N153"/>
    </row>
    <row r="154" spans="14:14" ht="15" hidden="1" x14ac:dyDescent="0.25">
      <c r="N154"/>
    </row>
    <row r="155" spans="14:14" ht="15" hidden="1" x14ac:dyDescent="0.25">
      <c r="N155"/>
    </row>
    <row r="156" spans="14:14" ht="15" hidden="1" x14ac:dyDescent="0.25">
      <c r="N156"/>
    </row>
    <row r="157" spans="14:14" ht="15" x14ac:dyDescent="0.25">
      <c r="N157"/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5"/>
  <sheetViews>
    <sheetView showGridLines="0" zoomScale="90" zoomScaleNormal="90" workbookViewId="0">
      <selection activeCell="B16" sqref="B16"/>
    </sheetView>
  </sheetViews>
  <sheetFormatPr defaultColWidth="0" defaultRowHeight="12.75" customHeight="1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6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5"/>
      <c r="B6" s="4" t="s">
        <v>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27">
        <v>1.01</v>
      </c>
      <c r="C7" s="2" t="s">
        <v>3</v>
      </c>
      <c r="D7" s="12"/>
      <c r="E7" s="28">
        <v>22</v>
      </c>
      <c r="F7" s="28">
        <v>23</v>
      </c>
      <c r="G7" s="28">
        <v>23</v>
      </c>
      <c r="H7" s="28">
        <v>25</v>
      </c>
      <c r="J7" s="8" t="s">
        <v>15</v>
      </c>
      <c r="N7"/>
    </row>
    <row r="8" spans="1:14" ht="15" x14ac:dyDescent="0.25">
      <c r="A8" s="27">
        <v>1.02</v>
      </c>
      <c r="C8" s="2" t="s">
        <v>112</v>
      </c>
      <c r="D8" s="12"/>
      <c r="E8" s="29">
        <v>500</v>
      </c>
      <c r="F8" s="29">
        <v>510</v>
      </c>
      <c r="G8" s="29">
        <v>505</v>
      </c>
      <c r="H8" s="29">
        <v>530</v>
      </c>
      <c r="J8" s="8"/>
      <c r="N8"/>
    </row>
    <row r="9" spans="1:14" ht="15" x14ac:dyDescent="0.25">
      <c r="A9"/>
      <c r="J9" s="8"/>
      <c r="N9"/>
    </row>
    <row r="10" spans="1:14" ht="15" x14ac:dyDescent="0.25">
      <c r="A10"/>
      <c r="J10" s="8"/>
      <c r="N10"/>
    </row>
    <row r="11" spans="1:14" ht="15" x14ac:dyDescent="0.25">
      <c r="A11" s="5"/>
      <c r="B11" s="4" t="s">
        <v>10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/>
    </row>
    <row r="12" spans="1:14" ht="15" x14ac:dyDescent="0.25">
      <c r="A12" s="27">
        <v>1.03</v>
      </c>
      <c r="C12" s="2" t="s">
        <v>11</v>
      </c>
      <c r="D12" s="11"/>
      <c r="E12" s="29">
        <v>600</v>
      </c>
      <c r="F12" s="29">
        <v>440</v>
      </c>
      <c r="G12" s="29">
        <v>490</v>
      </c>
      <c r="H12" s="29">
        <v>500</v>
      </c>
      <c r="J12" s="8" t="s">
        <v>12</v>
      </c>
      <c r="N12"/>
    </row>
    <row r="13" spans="1:14" ht="15" x14ac:dyDescent="0.25">
      <c r="A13" s="27">
        <v>1.04</v>
      </c>
      <c r="C13" s="2" t="s">
        <v>13</v>
      </c>
      <c r="D13" s="11"/>
      <c r="E13" s="28">
        <v>14</v>
      </c>
      <c r="F13" s="28">
        <v>14.25</v>
      </c>
      <c r="G13" s="28">
        <v>14.4</v>
      </c>
      <c r="H13" s="28">
        <v>14.45</v>
      </c>
      <c r="J13" s="8"/>
      <c r="N13"/>
    </row>
    <row r="14" spans="1:14" ht="15" x14ac:dyDescent="0.25">
      <c r="A14"/>
      <c r="J14" s="8"/>
      <c r="N14"/>
    </row>
    <row r="15" spans="1:14" ht="15" x14ac:dyDescent="0.25">
      <c r="A15" s="5"/>
      <c r="B15" s="4" t="s">
        <v>116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/>
    </row>
    <row r="16" spans="1:14" ht="15" x14ac:dyDescent="0.25">
      <c r="A16" s="27">
        <v>1.05</v>
      </c>
      <c r="C16" s="2" t="s">
        <v>114</v>
      </c>
      <c r="D16" s="11"/>
      <c r="E16" s="28">
        <v>7.25</v>
      </c>
      <c r="F16" s="28">
        <f>E16*1.05</f>
        <v>7.6125000000000007</v>
      </c>
      <c r="G16" s="28">
        <f t="shared" ref="G16:H16" si="0">F16*1.05</f>
        <v>7.9931250000000009</v>
      </c>
      <c r="H16" s="28">
        <f t="shared" si="0"/>
        <v>8.3927812500000005</v>
      </c>
      <c r="J16" s="8" t="s">
        <v>115</v>
      </c>
      <c r="N16"/>
    </row>
    <row r="17" spans="1:14" ht="15" x14ac:dyDescent="0.25">
      <c r="A17" s="27">
        <v>1.06</v>
      </c>
      <c r="C17" s="2" t="s">
        <v>14</v>
      </c>
      <c r="D17" s="11"/>
      <c r="E17" s="29">
        <v>250</v>
      </c>
      <c r="F17" s="29">
        <v>252</v>
      </c>
      <c r="G17" s="29">
        <v>243</v>
      </c>
      <c r="H17" s="29">
        <v>255</v>
      </c>
      <c r="J17" s="8"/>
      <c r="N17"/>
    </row>
    <row r="18" spans="1:14" ht="15" x14ac:dyDescent="0.25">
      <c r="A18"/>
      <c r="N18"/>
    </row>
    <row r="19" spans="1:14" ht="15" x14ac:dyDescent="0.25">
      <c r="A19" s="15"/>
      <c r="B19" s="17" t="s">
        <v>16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/>
    </row>
    <row r="20" spans="1:14" ht="15" x14ac:dyDescent="0.25">
      <c r="A20"/>
      <c r="N20"/>
    </row>
    <row r="21" spans="1:14" ht="15" hidden="1" x14ac:dyDescent="0.25">
      <c r="N21"/>
    </row>
    <row r="22" spans="1:14" ht="15" hidden="1" x14ac:dyDescent="0.25">
      <c r="N22"/>
    </row>
    <row r="23" spans="1:14" ht="15" hidden="1" x14ac:dyDescent="0.25">
      <c r="N23"/>
    </row>
    <row r="24" spans="1:14" ht="15" hidden="1" x14ac:dyDescent="0.25">
      <c r="N24"/>
    </row>
    <row r="25" spans="1:14" ht="15" hidden="1" x14ac:dyDescent="0.25">
      <c r="N25"/>
    </row>
    <row r="26" spans="1:14" ht="15" hidden="1" x14ac:dyDescent="0.25">
      <c r="N26"/>
    </row>
    <row r="27" spans="1:14" ht="15" hidden="1" x14ac:dyDescent="0.25">
      <c r="N27"/>
    </row>
    <row r="28" spans="1:14" ht="15" hidden="1" x14ac:dyDescent="0.25">
      <c r="N28"/>
    </row>
    <row r="29" spans="1:14" ht="15" hidden="1" x14ac:dyDescent="0.25">
      <c r="N29"/>
    </row>
    <row r="30" spans="1:14" ht="15" hidden="1" x14ac:dyDescent="0.25">
      <c r="N30"/>
    </row>
    <row r="31" spans="1:14" ht="15" hidden="1" x14ac:dyDescent="0.25">
      <c r="N31"/>
    </row>
    <row r="32" spans="1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5" hidden="1" x14ac:dyDescent="0.25">
      <c r="N150"/>
    </row>
    <row r="151" spans="14:14" ht="15" hidden="1" x14ac:dyDescent="0.25">
      <c r="N151"/>
    </row>
    <row r="152" spans="14:14" ht="15" hidden="1" x14ac:dyDescent="0.25">
      <c r="N152"/>
    </row>
    <row r="153" spans="14:14" ht="15" x14ac:dyDescent="0.25">
      <c r="N153"/>
    </row>
    <row r="154" spans="14:14" ht="12.75" customHeight="1" x14ac:dyDescent="0.2"/>
    <row r="155" spans="14:14" ht="12.75" customHeight="1" x14ac:dyDescent="0.2"/>
    <row r="156" spans="14:14" ht="12.75" customHeight="1" x14ac:dyDescent="0.2"/>
    <row r="157" spans="14:14" ht="12.75" customHeight="1" x14ac:dyDescent="0.2"/>
    <row r="158" spans="14:14" ht="12.75" customHeight="1" x14ac:dyDescent="0.2"/>
    <row r="159" spans="14:14" ht="12.75" customHeight="1" x14ac:dyDescent="0.2"/>
    <row r="160" spans="14:14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7"/>
  <sheetViews>
    <sheetView showGridLines="0" zoomScale="90" zoomScaleNormal="90" workbookViewId="0">
      <selection activeCell="O16" sqref="O16"/>
    </sheetView>
  </sheetViews>
  <sheetFormatPr defaultColWidth="0" defaultRowHeight="12.75" customHeight="1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7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5"/>
      <c r="B6" s="4" t="s">
        <v>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6" t="str">
        <f>'Figure 11-4'!A7&amp;" , "&amp;'Figure 11-4'!A8</f>
        <v>1.01 , 1.02</v>
      </c>
      <c r="C7" s="2" t="s">
        <v>3</v>
      </c>
      <c r="E7" s="9">
        <f>SUMPRODUCT('Figure 11-4'!E7,'Figure 11-4'!E8)</f>
        <v>11000</v>
      </c>
      <c r="F7" s="9">
        <f>SUMPRODUCT('Figure 11-4'!F7,'Figure 11-4'!F8)</f>
        <v>11730</v>
      </c>
      <c r="G7" s="9">
        <f>SUMPRODUCT('Figure 11-4'!G7,'Figure 11-4'!G8)</f>
        <v>11615</v>
      </c>
      <c r="H7" s="9">
        <f>SUMPRODUCT('Figure 11-4'!H7,'Figure 11-4'!H8)</f>
        <v>13250</v>
      </c>
      <c r="J7" s="8" t="s">
        <v>15</v>
      </c>
      <c r="N7"/>
    </row>
    <row r="8" spans="1:14" ht="15" x14ac:dyDescent="0.25">
      <c r="A8"/>
      <c r="J8" s="8"/>
      <c r="N8"/>
    </row>
    <row r="9" spans="1:14" ht="15" x14ac:dyDescent="0.25">
      <c r="A9" s="5"/>
      <c r="B9" s="4" t="s">
        <v>10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/>
    </row>
    <row r="10" spans="1:14" ht="15" x14ac:dyDescent="0.25">
      <c r="A10" s="6" t="str">
        <f>'Figure 11-4'!A12&amp;" , "&amp;'Figure 11-4'!A13</f>
        <v>1.03 , 1.04</v>
      </c>
      <c r="C10" s="2" t="s">
        <v>8</v>
      </c>
      <c r="E10" s="9">
        <f>SUMPRODUCT('Figure 11-4'!E12,'Figure 11-4'!E13)</f>
        <v>8400</v>
      </c>
      <c r="F10" s="9">
        <f>SUMPRODUCT('Figure 11-4'!F12,'Figure 11-4'!F13)</f>
        <v>6270</v>
      </c>
      <c r="G10" s="9">
        <f>SUMPRODUCT('Figure 11-4'!G12,'Figure 11-4'!G13)</f>
        <v>7056</v>
      </c>
      <c r="H10" s="9">
        <f>SUMPRODUCT('Figure 11-4'!H12,'Figure 11-4'!H13)</f>
        <v>7225</v>
      </c>
      <c r="J10" s="8" t="s">
        <v>12</v>
      </c>
      <c r="N10"/>
    </row>
    <row r="11" spans="1:14" ht="15" x14ac:dyDescent="0.25">
      <c r="A11"/>
      <c r="J11" s="8"/>
      <c r="N11"/>
    </row>
    <row r="12" spans="1:14" ht="15" x14ac:dyDescent="0.25">
      <c r="A12" s="5"/>
      <c r="B12" s="4" t="s">
        <v>116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/>
    </row>
    <row r="13" spans="1:14" ht="15" x14ac:dyDescent="0.25">
      <c r="A13" s="6" t="str">
        <f>'Figure 11-4'!A16&amp;" , "&amp;'Figure 11-4'!A17</f>
        <v>1.05 , 1.06</v>
      </c>
      <c r="C13" s="2" t="s">
        <v>113</v>
      </c>
      <c r="E13" s="9">
        <f>SUMPRODUCT('Figure 11-4'!E16,'Figure 11-4'!E17)</f>
        <v>1812.5</v>
      </c>
      <c r="F13" s="9">
        <f>SUMPRODUCT('Figure 11-4'!F16,'Figure 11-4'!F17)</f>
        <v>1918.3500000000001</v>
      </c>
      <c r="G13" s="9">
        <f>SUMPRODUCT('Figure 11-4'!G16,'Figure 11-4'!G17)</f>
        <v>1942.3293750000003</v>
      </c>
      <c r="H13" s="9">
        <f>SUMPRODUCT('Figure 11-4'!H16,'Figure 11-4'!H17)</f>
        <v>2140.15921875</v>
      </c>
      <c r="J13" s="8" t="s">
        <v>115</v>
      </c>
      <c r="N13"/>
    </row>
    <row r="14" spans="1:14" ht="15" x14ac:dyDescent="0.25">
      <c r="A14"/>
      <c r="N14"/>
    </row>
    <row r="15" spans="1:14" ht="15" x14ac:dyDescent="0.25">
      <c r="A15" s="15"/>
      <c r="B15" s="17" t="s">
        <v>16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/>
    </row>
    <row r="16" spans="1:14" ht="15" x14ac:dyDescent="0.25">
      <c r="A16"/>
      <c r="N16"/>
    </row>
    <row r="17" spans="14:14" ht="15" hidden="1" x14ac:dyDescent="0.25">
      <c r="N17"/>
    </row>
    <row r="18" spans="14:14" ht="15" hidden="1" x14ac:dyDescent="0.25">
      <c r="N18"/>
    </row>
    <row r="19" spans="14:14" ht="15" hidden="1" x14ac:dyDescent="0.25">
      <c r="N19"/>
    </row>
    <row r="20" spans="14:14" ht="15" hidden="1" x14ac:dyDescent="0.25">
      <c r="N20"/>
    </row>
    <row r="21" spans="14:14" ht="15" hidden="1" x14ac:dyDescent="0.25">
      <c r="N21"/>
    </row>
    <row r="22" spans="14:14" ht="15" hidden="1" x14ac:dyDescent="0.25">
      <c r="N22"/>
    </row>
    <row r="23" spans="14:14" ht="15" hidden="1" x14ac:dyDescent="0.25">
      <c r="N23"/>
    </row>
    <row r="24" spans="14:14" ht="15" hidden="1" x14ac:dyDescent="0.25">
      <c r="N24"/>
    </row>
    <row r="25" spans="14:14" ht="15" hidden="1" x14ac:dyDescent="0.25">
      <c r="N25"/>
    </row>
    <row r="26" spans="14:14" ht="15" hidden="1" x14ac:dyDescent="0.25">
      <c r="N26"/>
    </row>
    <row r="27" spans="14:14" ht="15" hidden="1" x14ac:dyDescent="0.25">
      <c r="N27"/>
    </row>
    <row r="28" spans="14:14" ht="15" hidden="1" x14ac:dyDescent="0.25">
      <c r="N28"/>
    </row>
    <row r="29" spans="14:14" ht="15" hidden="1" x14ac:dyDescent="0.25">
      <c r="N29"/>
    </row>
    <row r="30" spans="14:14" ht="15" hidden="1" x14ac:dyDescent="0.25">
      <c r="N30"/>
    </row>
    <row r="31" spans="14:14" ht="15" hidden="1" x14ac:dyDescent="0.25">
      <c r="N31"/>
    </row>
    <row r="32" spans="14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2.75" hidden="1" customHeight="1" x14ac:dyDescent="0.2"/>
    <row r="151" spans="14:14" ht="12.75" hidden="1" customHeight="1" x14ac:dyDescent="0.2"/>
    <row r="152" spans="14:14" ht="12.75" hidden="1" customHeight="1" x14ac:dyDescent="0.2"/>
    <row r="153" spans="14:14" ht="12.75" hidden="1" customHeight="1" x14ac:dyDescent="0.2"/>
    <row r="154" spans="14:14" ht="12.75" hidden="1" customHeight="1" x14ac:dyDescent="0.2"/>
    <row r="155" spans="14:14" ht="12.75" hidden="1" customHeight="1" x14ac:dyDescent="0.2"/>
    <row r="156" spans="14:14" ht="12.75" hidden="1" customHeight="1" x14ac:dyDescent="0.2"/>
    <row r="157" spans="14:14" ht="12.75" hidden="1" customHeight="1" x14ac:dyDescent="0.2"/>
  </sheetData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showGridLines="0" zoomScale="90" zoomScaleNormal="90" workbookViewId="0">
      <selection activeCell="B7" sqref="B7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32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  <row r="7" spans="1:12" ht="15" x14ac:dyDescent="0.25">
      <c r="A7" s="4"/>
      <c r="B7" s="32" t="s">
        <v>28</v>
      </c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 ht="15" customHeight="1" x14ac:dyDescent="0.2">
      <c r="B8" s="30" t="s">
        <v>28</v>
      </c>
      <c r="D8" s="34">
        <v>17500</v>
      </c>
      <c r="E8" s="34">
        <v>17800</v>
      </c>
      <c r="F8" s="34">
        <v>16200</v>
      </c>
      <c r="G8" s="34">
        <v>15400</v>
      </c>
      <c r="H8" s="34">
        <v>18500</v>
      </c>
      <c r="I8" s="34">
        <v>16500</v>
      </c>
      <c r="J8" s="34">
        <v>14500</v>
      </c>
      <c r="K8" s="34">
        <v>15500</v>
      </c>
      <c r="L8" s="8" t="s">
        <v>33</v>
      </c>
    </row>
    <row r="9" spans="1:12" x14ac:dyDescent="0.2">
      <c r="D9" s="30"/>
      <c r="E9" s="30"/>
      <c r="F9" s="30"/>
      <c r="G9" s="30"/>
      <c r="H9" s="30"/>
      <c r="I9" s="30"/>
      <c r="J9" s="30"/>
      <c r="K9" s="30"/>
    </row>
    <row r="10" spans="1:12" ht="15" x14ac:dyDescent="0.25">
      <c r="A10" s="4"/>
      <c r="B10" s="32" t="s">
        <v>30</v>
      </c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 x14ac:dyDescent="0.2">
      <c r="B11" s="30" t="s">
        <v>30</v>
      </c>
      <c r="D11" s="34">
        <v>2300</v>
      </c>
      <c r="E11" s="34">
        <v>2100</v>
      </c>
      <c r="F11" s="34">
        <v>2100</v>
      </c>
      <c r="G11" s="34">
        <v>2100</v>
      </c>
      <c r="H11" s="34">
        <v>2100</v>
      </c>
      <c r="I11" s="34">
        <v>2100</v>
      </c>
      <c r="J11" s="34">
        <v>2100</v>
      </c>
      <c r="K11" s="34">
        <v>2100</v>
      </c>
      <c r="L11" s="8" t="s">
        <v>34</v>
      </c>
    </row>
    <row r="12" spans="1:12" x14ac:dyDescent="0.2">
      <c r="D12" s="30"/>
      <c r="E12" s="30"/>
      <c r="F12" s="30"/>
      <c r="G12" s="30"/>
      <c r="H12" s="30"/>
      <c r="I12" s="30"/>
      <c r="J12" s="30"/>
      <c r="K12" s="30"/>
    </row>
    <row r="13" spans="1:12" x14ac:dyDescent="0.2">
      <c r="D13" s="30"/>
      <c r="E13" s="30"/>
      <c r="F13" s="30"/>
      <c r="G13" s="30"/>
      <c r="H13" s="30"/>
      <c r="I13" s="30"/>
      <c r="J13" s="30"/>
      <c r="K13" s="30"/>
    </row>
    <row r="14" spans="1:12" ht="15" x14ac:dyDescent="0.25">
      <c r="A14" s="32"/>
      <c r="B14" s="32" t="s">
        <v>31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">
      <c r="B15" s="30" t="s">
        <v>31</v>
      </c>
      <c r="D15" s="35">
        <v>0.03</v>
      </c>
      <c r="E15" s="35">
        <v>0.03</v>
      </c>
      <c r="F15" s="35">
        <v>0.03</v>
      </c>
      <c r="G15" s="35">
        <v>0.03</v>
      </c>
      <c r="H15" s="35">
        <v>0.03</v>
      </c>
      <c r="I15" s="35">
        <v>0.03</v>
      </c>
      <c r="J15" s="35">
        <v>0.03</v>
      </c>
      <c r="K15" s="35">
        <v>0.03</v>
      </c>
      <c r="L15" s="8" t="s">
        <v>35</v>
      </c>
    </row>
    <row r="22" spans="1:12" ht="18.75" x14ac:dyDescent="0.3">
      <c r="A22" s="25" t="s">
        <v>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ht="18.75" x14ac:dyDescent="0.3">
      <c r="A23" s="1" t="s">
        <v>18</v>
      </c>
    </row>
    <row r="25" spans="1:12" ht="15" x14ac:dyDescent="0.25">
      <c r="A25" s="32"/>
      <c r="B25" s="32" t="s">
        <v>9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7" spans="1:12" x14ac:dyDescent="0.2">
      <c r="D27" s="31" t="str">
        <f>D3</f>
        <v>Yr1</v>
      </c>
      <c r="E27" s="31" t="str">
        <f t="shared" ref="E27:K27" si="0">E3</f>
        <v>Yr2</v>
      </c>
      <c r="F27" s="31" t="str">
        <f t="shared" si="0"/>
        <v>Yr3</v>
      </c>
      <c r="G27" s="31" t="str">
        <f t="shared" si="0"/>
        <v>Yr4</v>
      </c>
      <c r="H27" s="31" t="str">
        <f t="shared" si="0"/>
        <v>Yr5</v>
      </c>
      <c r="I27" s="31" t="str">
        <f t="shared" si="0"/>
        <v>Yr6</v>
      </c>
      <c r="J27" s="31" t="str">
        <f t="shared" si="0"/>
        <v>Yr7</v>
      </c>
      <c r="K27" s="31" t="str">
        <f t="shared" si="0"/>
        <v>Yr8</v>
      </c>
    </row>
    <row r="28" spans="1:12" x14ac:dyDescent="0.2">
      <c r="B28" s="2" t="str">
        <f>B5</f>
        <v>Income</v>
      </c>
      <c r="D28" s="10">
        <f t="shared" ref="D28:K28" si="1">Inp_Income</f>
        <v>25600</v>
      </c>
      <c r="E28" s="10">
        <f t="shared" si="1"/>
        <v>28700</v>
      </c>
      <c r="F28" s="10">
        <f t="shared" si="1"/>
        <v>28950</v>
      </c>
      <c r="G28" s="10">
        <f t="shared" si="1"/>
        <v>31200</v>
      </c>
      <c r="H28" s="10">
        <f t="shared" si="1"/>
        <v>32100</v>
      </c>
      <c r="I28" s="10">
        <f t="shared" si="1"/>
        <v>32950</v>
      </c>
      <c r="J28" s="10">
        <f t="shared" si="1"/>
        <v>33090</v>
      </c>
      <c r="K28" s="10">
        <f t="shared" si="1"/>
        <v>33402</v>
      </c>
    </row>
    <row r="29" spans="1:12" x14ac:dyDescent="0.2">
      <c r="B29" s="2" t="str">
        <f>B8</f>
        <v>Direct costs</v>
      </c>
      <c r="D29" s="10">
        <f t="shared" ref="D29:K29" si="2">Inp_DirectCosts</f>
        <v>17500</v>
      </c>
      <c r="E29" s="10">
        <f t="shared" si="2"/>
        <v>17800</v>
      </c>
      <c r="F29" s="10">
        <f t="shared" si="2"/>
        <v>16200</v>
      </c>
      <c r="G29" s="10">
        <f t="shared" si="2"/>
        <v>15400</v>
      </c>
      <c r="H29" s="10">
        <f t="shared" si="2"/>
        <v>18500</v>
      </c>
      <c r="I29" s="10">
        <f t="shared" si="2"/>
        <v>16500</v>
      </c>
      <c r="J29" s="10">
        <f t="shared" si="2"/>
        <v>14500</v>
      </c>
      <c r="K29" s="10">
        <f t="shared" si="2"/>
        <v>15500</v>
      </c>
    </row>
    <row r="30" spans="1:12" x14ac:dyDescent="0.2">
      <c r="B30" s="2" t="str">
        <f>B11</f>
        <v>Expenses</v>
      </c>
      <c r="D30" s="10">
        <f t="shared" ref="D30:K30" si="3">Inp_Expenses</f>
        <v>2300</v>
      </c>
      <c r="E30" s="10">
        <f t="shared" si="3"/>
        <v>2100</v>
      </c>
      <c r="F30" s="10">
        <f t="shared" si="3"/>
        <v>2100</v>
      </c>
      <c r="G30" s="10">
        <f t="shared" si="3"/>
        <v>2100</v>
      </c>
      <c r="H30" s="10">
        <f t="shared" si="3"/>
        <v>2100</v>
      </c>
      <c r="I30" s="10">
        <f t="shared" si="3"/>
        <v>2100</v>
      </c>
      <c r="J30" s="10">
        <f t="shared" si="3"/>
        <v>2100</v>
      </c>
      <c r="K30" s="10">
        <f t="shared" si="3"/>
        <v>2100</v>
      </c>
    </row>
    <row r="31" spans="1:12" x14ac:dyDescent="0.2">
      <c r="B31" s="2" t="str">
        <f>B15</f>
        <v>Inflation</v>
      </c>
      <c r="D31" s="33">
        <f t="shared" ref="D31:K31" si="4">Inp_Inflation</f>
        <v>0.03</v>
      </c>
      <c r="E31" s="33">
        <f t="shared" si="4"/>
        <v>0.03</v>
      </c>
      <c r="F31" s="33">
        <f t="shared" si="4"/>
        <v>0.03</v>
      </c>
      <c r="G31" s="33">
        <f t="shared" si="4"/>
        <v>0.03</v>
      </c>
      <c r="H31" s="33">
        <f t="shared" si="4"/>
        <v>0.03</v>
      </c>
      <c r="I31" s="33">
        <f t="shared" si="4"/>
        <v>0.03</v>
      </c>
      <c r="J31" s="33">
        <f t="shared" si="4"/>
        <v>0.03</v>
      </c>
      <c r="K31" s="33">
        <f t="shared" si="4"/>
        <v>0.03</v>
      </c>
    </row>
    <row r="33" spans="1:12" ht="15" x14ac:dyDescent="0.25">
      <c r="A33" s="32"/>
      <c r="B33" s="32" t="s">
        <v>0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5" spans="1:12" x14ac:dyDescent="0.2">
      <c r="B35" s="2" t="s">
        <v>19</v>
      </c>
      <c r="D35" s="9"/>
      <c r="E35" s="9"/>
      <c r="F35" s="9"/>
      <c r="G35" s="9"/>
      <c r="H35" s="9"/>
      <c r="I35" s="9"/>
      <c r="J35" s="9"/>
      <c r="K35" s="9"/>
    </row>
    <row r="36" spans="1:12" x14ac:dyDescent="0.2">
      <c r="B36" s="2" t="s">
        <v>1</v>
      </c>
      <c r="D36" s="9"/>
      <c r="E36" s="9"/>
      <c r="F36" s="9"/>
      <c r="G36" s="9"/>
      <c r="H36" s="9"/>
      <c r="I36" s="9"/>
      <c r="J36" s="9"/>
      <c r="K36" s="9"/>
    </row>
    <row r="37" spans="1:12" x14ac:dyDescent="0.2">
      <c r="B37" s="2" t="s">
        <v>0</v>
      </c>
      <c r="D37" s="10"/>
      <c r="E37" s="10"/>
      <c r="F37" s="10"/>
      <c r="G37" s="10"/>
      <c r="H37" s="10"/>
      <c r="I37" s="10"/>
      <c r="J37" s="10"/>
      <c r="K37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showGridLines="0" zoomScale="90" zoomScaleNormal="90" workbookViewId="0">
      <selection activeCell="D5" sqref="D5:K5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117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showGridLines="0" zoomScale="90" zoomScaleNormal="90" workbookViewId="0">
      <selection activeCell="L8" sqref="A1:XFD1048576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36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  <row r="7" spans="1:12" ht="15" x14ac:dyDescent="0.25">
      <c r="A7" s="4"/>
      <c r="B7" s="32" t="s">
        <v>37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x14ac:dyDescent="0.2">
      <c r="B8" s="2" t="s">
        <v>37</v>
      </c>
      <c r="D8" s="35">
        <v>0.2</v>
      </c>
      <c r="E8" s="35">
        <v>0.2</v>
      </c>
      <c r="F8" s="35">
        <v>0.2</v>
      </c>
      <c r="G8" s="35">
        <v>0.2</v>
      </c>
      <c r="H8" s="35">
        <v>0.2</v>
      </c>
      <c r="I8" s="35">
        <v>0.2</v>
      </c>
      <c r="J8" s="35">
        <v>0.2</v>
      </c>
      <c r="K8" s="35">
        <v>0.2</v>
      </c>
      <c r="L8" s="8" t="s">
        <v>38</v>
      </c>
    </row>
    <row r="13" spans="1:12" ht="18.75" x14ac:dyDescent="0.3">
      <c r="A13" s="1" t="s">
        <v>18</v>
      </c>
    </row>
    <row r="14" spans="1:12" ht="15" x14ac:dyDescent="0.25">
      <c r="A14" s="32"/>
      <c r="B14" s="32" t="s">
        <v>39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">
      <c r="B15" s="2" t="s">
        <v>19</v>
      </c>
      <c r="E15" s="36">
        <f>'Figure 11-10'!Input_Income</f>
        <v>28700</v>
      </c>
      <c r="F15" s="36">
        <f>'Figure 11-10'!Input_Income</f>
        <v>28950</v>
      </c>
      <c r="G15" s="36">
        <f>'Figure 11-10'!Input_Income</f>
        <v>31200</v>
      </c>
      <c r="H15" s="36">
        <f>'Figure 11-10'!Input_Income</f>
        <v>32100</v>
      </c>
      <c r="I15" s="36">
        <f>'Figure 11-10'!Input_Income</f>
        <v>32950</v>
      </c>
      <c r="J15" s="36">
        <f>'Figure 11-10'!Input_Income</f>
        <v>33090</v>
      </c>
      <c r="K15" s="36">
        <f>'Figure 11-10'!Input_Income</f>
        <v>33402</v>
      </c>
      <c r="L15" s="36" t="e">
        <f>'Figure 11-10'!Input_Income</f>
        <v>#VALUE!</v>
      </c>
    </row>
    <row r="16" spans="1:12" x14ac:dyDescent="0.2">
      <c r="B16" s="2" t="s">
        <v>37</v>
      </c>
      <c r="E16" s="37">
        <f t="shared" ref="E16:L16" si="0">Input_SalesTax</f>
        <v>0.2</v>
      </c>
      <c r="F16" s="37">
        <f t="shared" si="0"/>
        <v>0.2</v>
      </c>
      <c r="G16" s="37">
        <f t="shared" si="0"/>
        <v>0.2</v>
      </c>
      <c r="H16" s="37">
        <f t="shared" si="0"/>
        <v>0.2</v>
      </c>
      <c r="I16" s="37">
        <f t="shared" si="0"/>
        <v>0.2</v>
      </c>
      <c r="J16" s="37">
        <f t="shared" si="0"/>
        <v>0.2</v>
      </c>
      <c r="K16" s="37">
        <f t="shared" si="0"/>
        <v>0.2</v>
      </c>
      <c r="L16" s="37" t="e">
        <f t="shared" si="0"/>
        <v>#VALUE!</v>
      </c>
    </row>
    <row r="18" spans="2:12" x14ac:dyDescent="0.2">
      <c r="B18" s="2" t="s">
        <v>40</v>
      </c>
      <c r="E18" s="36">
        <f>E15*(1+E16)</f>
        <v>34440</v>
      </c>
      <c r="F18" s="36">
        <f t="shared" ref="F18:L18" si="1">F15*(1+F16)</f>
        <v>34740</v>
      </c>
      <c r="G18" s="36">
        <f t="shared" si="1"/>
        <v>37440</v>
      </c>
      <c r="H18" s="36">
        <f t="shared" si="1"/>
        <v>38520</v>
      </c>
      <c r="I18" s="36">
        <f t="shared" si="1"/>
        <v>39540</v>
      </c>
      <c r="J18" s="36">
        <f t="shared" si="1"/>
        <v>39708</v>
      </c>
      <c r="K18" s="36">
        <f t="shared" si="1"/>
        <v>40082.400000000001</v>
      </c>
      <c r="L18" s="36" t="e">
        <f t="shared" si="1"/>
        <v>#VALUE!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showGridLines="0" workbookViewId="0">
      <selection activeCell="P22" sqref="P22"/>
    </sheetView>
  </sheetViews>
  <sheetFormatPr defaultRowHeight="12.75" x14ac:dyDescent="0.2"/>
  <cols>
    <col min="1" max="1" width="4" style="2" customWidth="1"/>
    <col min="2" max="2" width="17.7109375" style="2" customWidth="1"/>
    <col min="3" max="6" width="9.140625" style="2"/>
    <col min="7" max="7" width="12.5703125" style="2" customWidth="1"/>
    <col min="8" max="11" width="9.140625" style="2"/>
    <col min="12" max="12" width="10.7109375" style="2" customWidth="1"/>
    <col min="13" max="13" width="9.140625" style="2"/>
    <col min="14" max="14" width="4.5703125" style="2" customWidth="1"/>
    <col min="15" max="16384" width="9.140625" style="2"/>
  </cols>
  <sheetData>
    <row r="1" spans="1:13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3" spans="1:13" ht="18.75" x14ac:dyDescent="0.3">
      <c r="A3" s="1" t="s">
        <v>48</v>
      </c>
    </row>
    <row r="6" spans="1:13" x14ac:dyDescent="0.2">
      <c r="C6" s="38" t="s">
        <v>41</v>
      </c>
      <c r="D6" s="38" t="s">
        <v>42</v>
      </c>
      <c r="E6" s="38" t="s">
        <v>43</v>
      </c>
      <c r="F6" s="38" t="s">
        <v>44</v>
      </c>
      <c r="G6" s="38" t="s">
        <v>45</v>
      </c>
      <c r="H6" s="38" t="s">
        <v>41</v>
      </c>
      <c r="I6" s="38" t="s">
        <v>42</v>
      </c>
      <c r="J6" s="38" t="s">
        <v>43</v>
      </c>
      <c r="K6" s="38" t="s">
        <v>44</v>
      </c>
      <c r="L6" s="38" t="s">
        <v>46</v>
      </c>
    </row>
    <row r="7" spans="1:13" x14ac:dyDescent="0.2">
      <c r="B7" s="30" t="s">
        <v>19</v>
      </c>
      <c r="C7" s="39">
        <v>5800</v>
      </c>
      <c r="D7" s="39">
        <v>5950</v>
      </c>
      <c r="E7" s="39">
        <v>5004</v>
      </c>
      <c r="F7" s="39">
        <v>5101</v>
      </c>
      <c r="G7" s="40">
        <f>SUM(C7:F7)</f>
        <v>21855</v>
      </c>
      <c r="H7" s="39">
        <v>5740</v>
      </c>
      <c r="I7" s="39">
        <v>5703</v>
      </c>
      <c r="J7" s="39">
        <v>5649</v>
      </c>
      <c r="K7" s="39">
        <v>5830</v>
      </c>
      <c r="L7" s="40">
        <f>SUM(H7:K7)</f>
        <v>22922</v>
      </c>
    </row>
    <row r="8" spans="1:13" x14ac:dyDescent="0.2">
      <c r="B8" s="30" t="s">
        <v>28</v>
      </c>
      <c r="C8" s="39">
        <v>2700</v>
      </c>
      <c r="D8" s="39">
        <v>2710</v>
      </c>
      <c r="E8" s="39">
        <v>3920</v>
      </c>
      <c r="F8" s="39">
        <v>2700</v>
      </c>
      <c r="G8" s="40">
        <f t="shared" ref="G8:G11" si="0">SUM(C8:F8)</f>
        <v>12030</v>
      </c>
      <c r="H8" s="39">
        <v>2750</v>
      </c>
      <c r="I8" s="39">
        <v>2755</v>
      </c>
      <c r="J8" s="39">
        <v>2790</v>
      </c>
      <c r="K8" s="39">
        <v>2700</v>
      </c>
      <c r="L8" s="40">
        <f t="shared" ref="L8:L11" si="1">SUM(H8:K8)</f>
        <v>10995</v>
      </c>
    </row>
    <row r="9" spans="1:13" x14ac:dyDescent="0.2">
      <c r="B9" s="30" t="s">
        <v>118</v>
      </c>
      <c r="C9" s="39">
        <f>C7-C8</f>
        <v>3100</v>
      </c>
      <c r="D9" s="39">
        <f t="shared" ref="D9:E9" si="2">D7-D8</f>
        <v>3240</v>
      </c>
      <c r="E9" s="39">
        <f t="shared" si="2"/>
        <v>1084</v>
      </c>
      <c r="F9" s="39">
        <v>2700</v>
      </c>
      <c r="G9" s="40">
        <f t="shared" si="0"/>
        <v>10124</v>
      </c>
      <c r="H9" s="39">
        <f>H7-H8</f>
        <v>2990</v>
      </c>
      <c r="I9" s="39">
        <f t="shared" ref="I9:K9" si="3">I7-I8</f>
        <v>2948</v>
      </c>
      <c r="J9" s="39">
        <f t="shared" si="3"/>
        <v>2859</v>
      </c>
      <c r="K9" s="39">
        <f t="shared" si="3"/>
        <v>3130</v>
      </c>
      <c r="L9" s="40">
        <f t="shared" si="1"/>
        <v>11927</v>
      </c>
    </row>
    <row r="10" spans="1:13" x14ac:dyDescent="0.2">
      <c r="B10" s="30" t="s">
        <v>30</v>
      </c>
      <c r="C10" s="39">
        <v>2220</v>
      </c>
      <c r="D10" s="39">
        <v>2700</v>
      </c>
      <c r="E10" s="39">
        <v>2640</v>
      </c>
      <c r="F10" s="39">
        <v>2655</v>
      </c>
      <c r="G10" s="40">
        <f t="shared" si="0"/>
        <v>10215</v>
      </c>
      <c r="H10" s="39">
        <v>2620</v>
      </c>
      <c r="I10" s="39">
        <v>2530</v>
      </c>
      <c r="J10" s="39">
        <v>2500</v>
      </c>
      <c r="K10" s="39">
        <v>2490</v>
      </c>
      <c r="L10" s="40">
        <f t="shared" si="1"/>
        <v>10140</v>
      </c>
    </row>
    <row r="11" spans="1:13" x14ac:dyDescent="0.2">
      <c r="B11" s="30" t="s">
        <v>47</v>
      </c>
      <c r="C11" s="39">
        <f>C9-C10</f>
        <v>880</v>
      </c>
      <c r="D11" s="39">
        <f t="shared" ref="D11:H11" si="4">D9-D10</f>
        <v>540</v>
      </c>
      <c r="E11" s="39">
        <f t="shared" si="4"/>
        <v>-1556</v>
      </c>
      <c r="F11" s="39">
        <f t="shared" si="4"/>
        <v>45</v>
      </c>
      <c r="G11" s="40">
        <f t="shared" si="0"/>
        <v>-91</v>
      </c>
      <c r="H11" s="39">
        <f t="shared" si="4"/>
        <v>370</v>
      </c>
      <c r="I11" s="39">
        <f t="shared" ref="I11" si="5">I9-I10</f>
        <v>418</v>
      </c>
      <c r="J11" s="39">
        <f t="shared" ref="J11" si="6">J9-J10</f>
        <v>359</v>
      </c>
      <c r="K11" s="39">
        <f t="shared" ref="K11" si="7">K9-K10</f>
        <v>640</v>
      </c>
      <c r="L11" s="40">
        <f t="shared" si="1"/>
        <v>1787</v>
      </c>
    </row>
    <row r="13" spans="1:13" x14ac:dyDescent="0.2">
      <c r="A13" s="17"/>
      <c r="B13" s="17" t="s">
        <v>16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9"/>
  <sheetViews>
    <sheetView showGridLines="0" workbookViewId="0">
      <selection activeCell="L7" sqref="L7"/>
    </sheetView>
  </sheetViews>
  <sheetFormatPr defaultRowHeight="12.75" x14ac:dyDescent="0.2"/>
  <cols>
    <col min="1" max="1" width="4" style="2" customWidth="1"/>
    <col min="2" max="2" width="16.85546875" style="2" customWidth="1"/>
    <col min="3" max="3" width="4" style="2" customWidth="1"/>
    <col min="4" max="4" width="17.7109375" style="2" customWidth="1"/>
    <col min="5" max="7" width="4.7109375" style="2" customWidth="1"/>
    <col min="8" max="11" width="9.140625" style="2"/>
    <col min="12" max="12" width="12.5703125" style="2" customWidth="1"/>
    <col min="13" max="16" width="9.140625" style="2"/>
    <col min="17" max="17" width="10.7109375" style="2" customWidth="1"/>
    <col min="18" max="18" width="5.42578125" style="2" customWidth="1"/>
    <col min="19" max="19" width="4.5703125" style="2" customWidth="1"/>
    <col min="20" max="16384" width="9.140625" style="2"/>
  </cols>
  <sheetData>
    <row r="1" spans="1:18" ht="18.75" x14ac:dyDescent="0.3">
      <c r="A1" s="25" t="s">
        <v>2</v>
      </c>
      <c r="B1" s="25"/>
      <c r="C1" s="25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3" spans="1:18" ht="18.75" x14ac:dyDescent="0.3">
      <c r="A3" s="1" t="s">
        <v>18</v>
      </c>
      <c r="B3" s="1"/>
      <c r="C3" s="1"/>
    </row>
    <row r="4" spans="1:18" ht="18.75" x14ac:dyDescent="0.3">
      <c r="A4" s="1"/>
      <c r="B4" s="1"/>
      <c r="C4" s="1"/>
    </row>
    <row r="5" spans="1:18" ht="18" customHeight="1" x14ac:dyDescent="0.3">
      <c r="A5" s="1"/>
      <c r="B5" s="1"/>
      <c r="C5" s="1"/>
      <c r="H5" s="41">
        <v>1</v>
      </c>
      <c r="I5" s="41">
        <v>2</v>
      </c>
      <c r="J5" s="41">
        <v>3</v>
      </c>
      <c r="K5" s="41">
        <v>4</v>
      </c>
      <c r="L5" s="38" t="s">
        <v>45</v>
      </c>
      <c r="M5" s="41">
        <v>1</v>
      </c>
      <c r="N5" s="41">
        <v>2</v>
      </c>
      <c r="O5" s="41">
        <v>3</v>
      </c>
      <c r="P5" s="41">
        <v>4</v>
      </c>
      <c r="Q5" s="38" t="s">
        <v>46</v>
      </c>
    </row>
    <row r="6" spans="1:18" ht="15" x14ac:dyDescent="0.25">
      <c r="A6" s="32"/>
      <c r="B6" s="32"/>
      <c r="C6" s="32"/>
      <c r="D6" s="4" t="s">
        <v>49</v>
      </c>
      <c r="E6" s="4"/>
      <c r="F6" s="4"/>
      <c r="G6" s="4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 x14ac:dyDescent="0.2">
      <c r="B7" s="30" t="s">
        <v>119</v>
      </c>
      <c r="E7" s="30"/>
      <c r="F7" s="30"/>
      <c r="G7" s="30"/>
      <c r="H7" s="42">
        <f>IF($H$5:$Q$5&lt;=4,1,0)</f>
        <v>1</v>
      </c>
      <c r="I7" s="42">
        <f t="shared" ref="I7:Q7" si="0">IF($H$5:$Q$5&lt;=4,1,0)</f>
        <v>1</v>
      </c>
      <c r="J7" s="42">
        <f t="shared" si="0"/>
        <v>1</v>
      </c>
      <c r="K7" s="42">
        <f t="shared" si="0"/>
        <v>1</v>
      </c>
      <c r="L7" s="42">
        <f t="shared" si="0"/>
        <v>0</v>
      </c>
      <c r="M7" s="42">
        <f t="shared" si="0"/>
        <v>1</v>
      </c>
      <c r="N7" s="42">
        <f t="shared" si="0"/>
        <v>1</v>
      </c>
      <c r="O7" s="42">
        <f t="shared" si="0"/>
        <v>1</v>
      </c>
      <c r="P7" s="42">
        <f t="shared" si="0"/>
        <v>1</v>
      </c>
      <c r="Q7" s="42">
        <f t="shared" si="0"/>
        <v>0</v>
      </c>
    </row>
    <row r="9" spans="1:18" ht="15" x14ac:dyDescent="0.25">
      <c r="A9" s="32"/>
      <c r="B9" s="32"/>
      <c r="C9" s="32"/>
      <c r="D9" s="43" t="s">
        <v>51</v>
      </c>
      <c r="E9" s="4"/>
      <c r="F9" s="4"/>
      <c r="G9" s="4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 x14ac:dyDescent="0.2">
      <c r="B10" s="30" t="s">
        <v>19</v>
      </c>
      <c r="E10" s="30"/>
      <c r="F10" s="30"/>
      <c r="G10" s="30"/>
      <c r="H10" s="39">
        <v>5800</v>
      </c>
      <c r="I10" s="39">
        <v>5950</v>
      </c>
      <c r="J10" s="39">
        <v>5004</v>
      </c>
      <c r="K10" s="39">
        <v>5101</v>
      </c>
      <c r="L10" s="40">
        <f>SUM(H10:K10)</f>
        <v>21855</v>
      </c>
      <c r="M10" s="39">
        <v>5740</v>
      </c>
      <c r="N10" s="39">
        <v>5703</v>
      </c>
      <c r="O10" s="39">
        <v>5649</v>
      </c>
      <c r="P10" s="39">
        <v>5830</v>
      </c>
      <c r="Q10" s="40">
        <f>SUM(M10:P10)</f>
        <v>22922</v>
      </c>
    </row>
    <row r="11" spans="1:18" x14ac:dyDescent="0.2">
      <c r="B11" s="30" t="s">
        <v>28</v>
      </c>
      <c r="E11" s="30"/>
      <c r="F11" s="30"/>
      <c r="G11" s="30"/>
      <c r="H11" s="39">
        <v>2700</v>
      </c>
      <c r="I11" s="39">
        <v>2710</v>
      </c>
      <c r="J11" s="39">
        <v>3920</v>
      </c>
      <c r="K11" s="39">
        <v>2700</v>
      </c>
      <c r="L11" s="40">
        <f t="shared" ref="L11:L14" si="1">SUM(H11:K11)</f>
        <v>12030</v>
      </c>
      <c r="M11" s="39">
        <v>2750</v>
      </c>
      <c r="N11" s="39">
        <v>2755</v>
      </c>
      <c r="O11" s="39">
        <v>2790</v>
      </c>
      <c r="P11" s="39">
        <v>2700</v>
      </c>
      <c r="Q11" s="40">
        <f t="shared" ref="Q11:Q14" si="2">SUM(M11:P11)</f>
        <v>10995</v>
      </c>
    </row>
    <row r="12" spans="1:18" x14ac:dyDescent="0.2">
      <c r="B12" s="30" t="s">
        <v>118</v>
      </c>
      <c r="E12" s="30"/>
      <c r="F12" s="30"/>
      <c r="G12" s="30"/>
      <c r="H12" s="39">
        <f>H10-H11</f>
        <v>3100</v>
      </c>
      <c r="I12" s="39">
        <f t="shared" ref="I12:J12" si="3">I10-I11</f>
        <v>3240</v>
      </c>
      <c r="J12" s="39">
        <f t="shared" si="3"/>
        <v>1084</v>
      </c>
      <c r="K12" s="39">
        <v>2700</v>
      </c>
      <c r="L12" s="40">
        <f t="shared" si="1"/>
        <v>10124</v>
      </c>
      <c r="M12" s="39">
        <f>M10-M11</f>
        <v>2990</v>
      </c>
      <c r="N12" s="39">
        <f t="shared" ref="N12:P12" si="4">N10-N11</f>
        <v>2948</v>
      </c>
      <c r="O12" s="39">
        <f t="shared" si="4"/>
        <v>2859</v>
      </c>
      <c r="P12" s="39">
        <f t="shared" si="4"/>
        <v>3130</v>
      </c>
      <c r="Q12" s="40">
        <f t="shared" si="2"/>
        <v>11927</v>
      </c>
    </row>
    <row r="13" spans="1:18" x14ac:dyDescent="0.2">
      <c r="B13" s="30" t="s">
        <v>30</v>
      </c>
      <c r="E13" s="30"/>
      <c r="F13" s="30"/>
      <c r="G13" s="30"/>
      <c r="H13" s="39">
        <v>2220</v>
      </c>
      <c r="I13" s="39">
        <v>2700</v>
      </c>
      <c r="J13" s="39">
        <v>2640</v>
      </c>
      <c r="K13" s="39">
        <v>2655</v>
      </c>
      <c r="L13" s="40">
        <f t="shared" si="1"/>
        <v>10215</v>
      </c>
      <c r="M13" s="39">
        <v>2620</v>
      </c>
      <c r="N13" s="39">
        <v>2530</v>
      </c>
      <c r="O13" s="39">
        <v>2500</v>
      </c>
      <c r="P13" s="39">
        <v>2490</v>
      </c>
      <c r="Q13" s="40">
        <f t="shared" si="2"/>
        <v>10140</v>
      </c>
    </row>
    <row r="14" spans="1:18" x14ac:dyDescent="0.2">
      <c r="B14" s="30" t="s">
        <v>47</v>
      </c>
      <c r="E14" s="30"/>
      <c r="F14" s="30"/>
      <c r="G14" s="30"/>
      <c r="H14" s="39">
        <f>H12-H13</f>
        <v>880</v>
      </c>
      <c r="I14" s="39">
        <f t="shared" ref="I14:P14" si="5">I12-I13</f>
        <v>540</v>
      </c>
      <c r="J14" s="39">
        <f t="shared" si="5"/>
        <v>-1556</v>
      </c>
      <c r="K14" s="39">
        <f t="shared" si="5"/>
        <v>45</v>
      </c>
      <c r="L14" s="40">
        <f t="shared" si="1"/>
        <v>-91</v>
      </c>
      <c r="M14" s="39">
        <f t="shared" si="5"/>
        <v>370</v>
      </c>
      <c r="N14" s="39">
        <f t="shared" si="5"/>
        <v>418</v>
      </c>
      <c r="O14" s="39">
        <f t="shared" si="5"/>
        <v>359</v>
      </c>
      <c r="P14" s="39">
        <f t="shared" si="5"/>
        <v>640</v>
      </c>
      <c r="Q14" s="40">
        <f t="shared" si="2"/>
        <v>1787</v>
      </c>
    </row>
    <row r="16" spans="1:18" x14ac:dyDescent="0.2">
      <c r="A16" s="4"/>
      <c r="B16" s="4"/>
      <c r="C16" s="4"/>
      <c r="D16" s="4" t="s">
        <v>52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8" spans="1:18" x14ac:dyDescent="0.2">
      <c r="B18" s="30" t="s">
        <v>19</v>
      </c>
      <c r="H18" s="39">
        <f t="shared" ref="H18:Q18" si="6">H10*Calc_Mask</f>
        <v>5800</v>
      </c>
      <c r="I18" s="39">
        <f t="shared" si="6"/>
        <v>5950</v>
      </c>
      <c r="J18" s="39">
        <f t="shared" si="6"/>
        <v>5004</v>
      </c>
      <c r="K18" s="39">
        <f t="shared" si="6"/>
        <v>5101</v>
      </c>
      <c r="L18" s="39">
        <f t="shared" si="6"/>
        <v>0</v>
      </c>
      <c r="M18" s="39">
        <f t="shared" si="6"/>
        <v>5740</v>
      </c>
      <c r="N18" s="39">
        <f t="shared" si="6"/>
        <v>5703</v>
      </c>
      <c r="O18" s="39">
        <f t="shared" si="6"/>
        <v>5649</v>
      </c>
      <c r="P18" s="39">
        <f t="shared" si="6"/>
        <v>5830</v>
      </c>
      <c r="Q18" s="39">
        <f t="shared" si="6"/>
        <v>0</v>
      </c>
    </row>
    <row r="19" spans="1:18" x14ac:dyDescent="0.2">
      <c r="B19" s="30" t="s">
        <v>28</v>
      </c>
      <c r="H19" s="39">
        <f t="shared" ref="H19:Q19" si="7">H11*Calc_Mask</f>
        <v>2700</v>
      </c>
      <c r="I19" s="39">
        <f t="shared" si="7"/>
        <v>2710</v>
      </c>
      <c r="J19" s="39">
        <f t="shared" si="7"/>
        <v>3920</v>
      </c>
      <c r="K19" s="39">
        <f t="shared" si="7"/>
        <v>2700</v>
      </c>
      <c r="L19" s="39">
        <f t="shared" si="7"/>
        <v>0</v>
      </c>
      <c r="M19" s="39">
        <f t="shared" si="7"/>
        <v>2750</v>
      </c>
      <c r="N19" s="39">
        <f t="shared" si="7"/>
        <v>2755</v>
      </c>
      <c r="O19" s="39">
        <f t="shared" si="7"/>
        <v>2790</v>
      </c>
      <c r="P19" s="39">
        <f t="shared" si="7"/>
        <v>2700</v>
      </c>
      <c r="Q19" s="39">
        <f t="shared" si="7"/>
        <v>0</v>
      </c>
    </row>
    <row r="20" spans="1:18" x14ac:dyDescent="0.2">
      <c r="B20" s="30" t="s">
        <v>118</v>
      </c>
      <c r="H20" s="39">
        <f t="shared" ref="H20:Q20" si="8">H12*Calc_Mask</f>
        <v>3100</v>
      </c>
      <c r="I20" s="39">
        <f t="shared" si="8"/>
        <v>3240</v>
      </c>
      <c r="J20" s="39">
        <f t="shared" si="8"/>
        <v>1084</v>
      </c>
      <c r="K20" s="39">
        <f t="shared" si="8"/>
        <v>2700</v>
      </c>
      <c r="L20" s="39">
        <f t="shared" si="8"/>
        <v>0</v>
      </c>
      <c r="M20" s="39">
        <f t="shared" si="8"/>
        <v>2990</v>
      </c>
      <c r="N20" s="39">
        <f t="shared" si="8"/>
        <v>2948</v>
      </c>
      <c r="O20" s="39">
        <f t="shared" si="8"/>
        <v>2859</v>
      </c>
      <c r="P20" s="39">
        <f t="shared" si="8"/>
        <v>3130</v>
      </c>
      <c r="Q20" s="39">
        <f t="shared" si="8"/>
        <v>0</v>
      </c>
    </row>
    <row r="21" spans="1:18" x14ac:dyDescent="0.2">
      <c r="B21" s="30" t="s">
        <v>30</v>
      </c>
      <c r="H21" s="39">
        <f t="shared" ref="H21:Q21" si="9">H13*Calc_Mask</f>
        <v>2220</v>
      </c>
      <c r="I21" s="39">
        <f t="shared" si="9"/>
        <v>2700</v>
      </c>
      <c r="J21" s="39">
        <f t="shared" si="9"/>
        <v>2640</v>
      </c>
      <c r="K21" s="39">
        <f t="shared" si="9"/>
        <v>2655</v>
      </c>
      <c r="L21" s="39">
        <f t="shared" si="9"/>
        <v>0</v>
      </c>
      <c r="M21" s="39">
        <f t="shared" si="9"/>
        <v>2620</v>
      </c>
      <c r="N21" s="39">
        <f t="shared" si="9"/>
        <v>2530</v>
      </c>
      <c r="O21" s="39">
        <f t="shared" si="9"/>
        <v>2500</v>
      </c>
      <c r="P21" s="39">
        <f t="shared" si="9"/>
        <v>2490</v>
      </c>
      <c r="Q21" s="39">
        <f t="shared" si="9"/>
        <v>0</v>
      </c>
    </row>
    <row r="22" spans="1:18" x14ac:dyDescent="0.2">
      <c r="B22" s="30" t="s">
        <v>47</v>
      </c>
      <c r="H22" s="39">
        <f t="shared" ref="H22:Q22" si="10">H14*Calc_Mask</f>
        <v>880</v>
      </c>
      <c r="I22" s="39">
        <f t="shared" si="10"/>
        <v>540</v>
      </c>
      <c r="J22" s="39">
        <f t="shared" si="10"/>
        <v>-1556</v>
      </c>
      <c r="K22" s="39">
        <f t="shared" si="10"/>
        <v>45</v>
      </c>
      <c r="L22" s="39">
        <f t="shared" si="10"/>
        <v>0</v>
      </c>
      <c r="M22" s="39">
        <f t="shared" si="10"/>
        <v>370</v>
      </c>
      <c r="N22" s="39">
        <f t="shared" si="10"/>
        <v>418</v>
      </c>
      <c r="O22" s="39">
        <f t="shared" si="10"/>
        <v>359</v>
      </c>
      <c r="P22" s="39">
        <f t="shared" si="10"/>
        <v>640</v>
      </c>
      <c r="Q22" s="39">
        <f t="shared" si="10"/>
        <v>0</v>
      </c>
    </row>
    <row r="24" spans="1:18" x14ac:dyDescent="0.2">
      <c r="A24" s="4"/>
      <c r="B24" s="4"/>
      <c r="C24" s="4"/>
      <c r="D24" s="4" t="s">
        <v>50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 x14ac:dyDescent="0.2">
      <c r="B25" s="30" t="s">
        <v>19</v>
      </c>
      <c r="H25" s="39">
        <f>IF(Calc_Mask=1,0,SUMPRODUCT($H$7:H$7,$H10:H10))-C25</f>
        <v>0</v>
      </c>
      <c r="I25" s="39">
        <f>IF(Calc_Mask=1,0,SUMPRODUCT($H$7:I$7,$H10:I10))-D25</f>
        <v>0</v>
      </c>
      <c r="J25" s="39">
        <f>IF(Calc_Mask=1,0,SUMPRODUCT($H$7:J$7,$H10:J10))-E25</f>
        <v>0</v>
      </c>
      <c r="K25" s="39">
        <f>IF(Calc_Mask=1,0,SUMPRODUCT($H$7:K$7,$H10:K10))-F25</f>
        <v>0</v>
      </c>
      <c r="L25" s="39">
        <f>IF(Calc_Mask=1,0,SUMPRODUCT($H$7:L$7,$H10:L10))-G25</f>
        <v>21855</v>
      </c>
      <c r="M25" s="39">
        <f>IF(Calc_Mask=1,0,SUMPRODUCT($H$7:M$7,$H10:M10))-H25</f>
        <v>0</v>
      </c>
      <c r="N25" s="39">
        <f>IF(Calc_Mask=1,0,SUMPRODUCT($H$7:N$7,$H10:N10))-I25</f>
        <v>0</v>
      </c>
      <c r="O25" s="39">
        <f>IF(Calc_Mask=1,0,SUMPRODUCT($H$7:O$7,$H10:O10))-J25</f>
        <v>0</v>
      </c>
      <c r="P25" s="39">
        <f>IF(Calc_Mask=1,0,SUMPRODUCT($H$7:P$7,$H10:P10))-K25</f>
        <v>0</v>
      </c>
      <c r="Q25" s="39">
        <f>IF(Calc_Mask=1,0,SUMPRODUCT($H$7:Q$7,$H10:Q10))-L25</f>
        <v>22922</v>
      </c>
    </row>
    <row r="26" spans="1:18" x14ac:dyDescent="0.2">
      <c r="B26" s="30" t="s">
        <v>28</v>
      </c>
      <c r="H26" s="39">
        <f>IF(Calc_Mask=1,0,SUMPRODUCT($H$7:H$7,$H11:H11))-C26</f>
        <v>0</v>
      </c>
      <c r="I26" s="39">
        <f>IF(Calc_Mask=1,0,SUMPRODUCT($H$7:I$7,$H11:I11))-D26</f>
        <v>0</v>
      </c>
      <c r="J26" s="39">
        <f>IF(Calc_Mask=1,0,SUMPRODUCT($H$7:J$7,$H11:J11))-E26</f>
        <v>0</v>
      </c>
      <c r="K26" s="39">
        <f>IF(Calc_Mask=1,0,SUMPRODUCT($H$7:K$7,$H11:K11))-F26</f>
        <v>0</v>
      </c>
      <c r="L26" s="39">
        <f>IF(Calc_Mask=1,0,SUMPRODUCT($H$7:L$7,$H11:L11))-G26</f>
        <v>12030</v>
      </c>
      <c r="M26" s="39">
        <f>IF(Calc_Mask=1,0,SUMPRODUCT($H$7:M$7,$H11:M11))-H26</f>
        <v>0</v>
      </c>
      <c r="N26" s="39">
        <f>IF(Calc_Mask=1,0,SUMPRODUCT($H$7:N$7,$H11:N11))-I26</f>
        <v>0</v>
      </c>
      <c r="O26" s="39">
        <f>IF(Calc_Mask=1,0,SUMPRODUCT($H$7:O$7,$H11:O11))-J26</f>
        <v>0</v>
      </c>
      <c r="P26" s="39">
        <f>IF(Calc_Mask=1,0,SUMPRODUCT($H$7:P$7,$H11:P11))-K26</f>
        <v>0</v>
      </c>
      <c r="Q26" s="39">
        <f>IF(Calc_Mask=1,0,SUMPRODUCT($H$7:Q$7,$H11:Q11))-L26</f>
        <v>10995</v>
      </c>
    </row>
    <row r="27" spans="1:18" x14ac:dyDescent="0.2">
      <c r="B27" s="30" t="s">
        <v>118</v>
      </c>
      <c r="H27" s="39">
        <f>IF(Calc_Mask=1,0,SUMPRODUCT($H$7:H$7,$H12:H12))-C27</f>
        <v>0</v>
      </c>
      <c r="I27" s="39">
        <f>IF(Calc_Mask=1,0,SUMPRODUCT($H$7:I$7,$H12:I12))-D27</f>
        <v>0</v>
      </c>
      <c r="J27" s="39">
        <f>IF(Calc_Mask=1,0,SUMPRODUCT($H$7:J$7,$H12:J12))-E27</f>
        <v>0</v>
      </c>
      <c r="K27" s="39">
        <f>IF(Calc_Mask=1,0,SUMPRODUCT($H$7:K$7,$H12:K12))-F27</f>
        <v>0</v>
      </c>
      <c r="L27" s="39">
        <f>IF(Calc_Mask=1,0,SUMPRODUCT($H$7:L$7,$H12:L12))-G27</f>
        <v>10124</v>
      </c>
      <c r="M27" s="39">
        <f>IF(Calc_Mask=1,0,SUMPRODUCT($H$7:M$7,$H12:M12))-H27</f>
        <v>0</v>
      </c>
      <c r="N27" s="39">
        <f>IF(Calc_Mask=1,0,SUMPRODUCT($H$7:N$7,$H12:N12))-I27</f>
        <v>0</v>
      </c>
      <c r="O27" s="39">
        <f>IF(Calc_Mask=1,0,SUMPRODUCT($H$7:O$7,$H12:O12))-J27</f>
        <v>0</v>
      </c>
      <c r="P27" s="39">
        <f>IF(Calc_Mask=1,0,SUMPRODUCT($H$7:P$7,$H12:P12))-K27</f>
        <v>0</v>
      </c>
      <c r="Q27" s="39">
        <f>IF(Calc_Mask=1,0,SUMPRODUCT($H$7:Q$7,$H12:Q12))-L27</f>
        <v>11927</v>
      </c>
    </row>
    <row r="28" spans="1:18" x14ac:dyDescent="0.2">
      <c r="B28" s="30" t="s">
        <v>30</v>
      </c>
      <c r="H28" s="39">
        <f>IF(Calc_Mask=1,0,SUMPRODUCT($H$7:H$7,$H13:H13))-C28</f>
        <v>0</v>
      </c>
      <c r="I28" s="39">
        <f>IF(Calc_Mask=1,0,SUMPRODUCT($H$7:I$7,$H13:I13))-D28</f>
        <v>0</v>
      </c>
      <c r="J28" s="39">
        <f>IF(Calc_Mask=1,0,SUMPRODUCT($H$7:J$7,$H13:J13))-E28</f>
        <v>0</v>
      </c>
      <c r="K28" s="39">
        <f>IF(Calc_Mask=1,0,SUMPRODUCT($H$7:K$7,$H13:K13))-F28</f>
        <v>0</v>
      </c>
      <c r="L28" s="39">
        <f>IF(Calc_Mask=1,0,SUMPRODUCT($H$7:L$7,$H13:L13))-G28</f>
        <v>10215</v>
      </c>
      <c r="M28" s="39">
        <f>IF(Calc_Mask=1,0,SUMPRODUCT($H$7:M$7,$H13:M13))-H28</f>
        <v>0</v>
      </c>
      <c r="N28" s="39">
        <f>IF(Calc_Mask=1,0,SUMPRODUCT($H$7:N$7,$H13:N13))-I28</f>
        <v>0</v>
      </c>
      <c r="O28" s="39">
        <f>IF(Calc_Mask=1,0,SUMPRODUCT($H$7:O$7,$H13:O13))-J28</f>
        <v>0</v>
      </c>
      <c r="P28" s="39">
        <f>IF(Calc_Mask=1,0,SUMPRODUCT($H$7:P$7,$H13:P13))-K28</f>
        <v>0</v>
      </c>
      <c r="Q28" s="39">
        <f>IF(Calc_Mask=1,0,SUMPRODUCT($H$7:Q$7,$H13:Q13))-L28</f>
        <v>10140</v>
      </c>
    </row>
    <row r="29" spans="1:18" x14ac:dyDescent="0.2">
      <c r="B29" s="30" t="s">
        <v>47</v>
      </c>
      <c r="H29" s="39">
        <f>IF(Calc_Mask=1,0,SUMPRODUCT($H$7:H$7,$H14:H14))-C29</f>
        <v>0</v>
      </c>
      <c r="I29" s="39">
        <f>IF(Calc_Mask=1,0,SUMPRODUCT($H$7:I$7,$H14:I14))-D29</f>
        <v>0</v>
      </c>
      <c r="J29" s="39">
        <f>IF(Calc_Mask=1,0,SUMPRODUCT($H$7:J$7,$H14:J14))-E29</f>
        <v>0</v>
      </c>
      <c r="K29" s="39">
        <f>IF(Calc_Mask=1,0,SUMPRODUCT($H$7:K$7,$H14:K14))-F29</f>
        <v>0</v>
      </c>
      <c r="L29" s="39">
        <f>IF(Calc_Mask=1,0,SUMPRODUCT($H$7:L$7,$H14:L14))-G29</f>
        <v>-91</v>
      </c>
      <c r="M29" s="39">
        <f>IF(Calc_Mask=1,0,SUMPRODUCT($H$7:M$7,$H14:M14))-H29</f>
        <v>0</v>
      </c>
      <c r="N29" s="39">
        <f>IF(Calc_Mask=1,0,SUMPRODUCT($H$7:N$7,$H14:N14))-I29</f>
        <v>0</v>
      </c>
      <c r="O29" s="39">
        <f>IF(Calc_Mask=1,0,SUMPRODUCT($H$7:O$7,$H14:O14))-J29</f>
        <v>0</v>
      </c>
      <c r="P29" s="39">
        <f>IF(Calc_Mask=1,0,SUMPRODUCT($H$7:P$7,$H14:P14))-K29</f>
        <v>0</v>
      </c>
      <c r="Q29" s="39">
        <f>IF(Calc_Mask=1,0,SUMPRODUCT($H$7:Q$7,$H14:Q14))-L29</f>
        <v>1787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2"/>
  <sheetViews>
    <sheetView showGridLines="0" zoomScale="90" zoomScaleNormal="90" workbookViewId="0">
      <selection activeCell="H6" sqref="H6"/>
    </sheetView>
  </sheetViews>
  <sheetFormatPr defaultColWidth="0" defaultRowHeight="15" zeroHeight="1" x14ac:dyDescent="0.25"/>
  <cols>
    <col min="1" max="1" width="7.5703125" customWidth="1"/>
    <col min="2" max="2" width="16.7109375" customWidth="1"/>
    <col min="3" max="5" width="14.140625" customWidth="1"/>
    <col min="6" max="6" width="13.5703125" customWidth="1"/>
    <col min="7" max="7" width="6.5703125" customWidth="1"/>
    <col min="8" max="8" width="6.140625" customWidth="1"/>
    <col min="9" max="18" width="0" hidden="1" customWidth="1"/>
    <col min="19" max="16384" width="9.140625" hidden="1"/>
  </cols>
  <sheetData>
    <row r="1" spans="1:7" ht="18.75" x14ac:dyDescent="0.3">
      <c r="A1" s="25" t="s">
        <v>2</v>
      </c>
      <c r="B1" s="25"/>
      <c r="C1" s="25"/>
      <c r="D1" s="3"/>
      <c r="E1" s="3"/>
      <c r="F1" s="3"/>
      <c r="G1" s="3"/>
    </row>
    <row r="2" spans="1:7" ht="15.75" x14ac:dyDescent="0.25">
      <c r="A2" s="51" t="s">
        <v>18</v>
      </c>
    </row>
    <row r="3" spans="1:7" x14ac:dyDescent="0.25"/>
    <row r="4" spans="1:7" x14ac:dyDescent="0.25">
      <c r="A4" s="32"/>
      <c r="B4" s="32" t="s">
        <v>9</v>
      </c>
      <c r="C4" s="32"/>
      <c r="D4" s="32"/>
      <c r="E4" s="32"/>
      <c r="F4" s="32"/>
      <c r="G4" s="32"/>
    </row>
    <row r="5" spans="1:7" x14ac:dyDescent="0.25">
      <c r="B5" s="49" t="s">
        <v>53</v>
      </c>
      <c r="C5" s="49" t="s">
        <v>54</v>
      </c>
      <c r="D5" s="49" t="s">
        <v>120</v>
      </c>
      <c r="E5" s="49" t="s">
        <v>55</v>
      </c>
    </row>
    <row r="6" spans="1:7" x14ac:dyDescent="0.25">
      <c r="B6" s="52" t="s">
        <v>63</v>
      </c>
      <c r="C6" s="53">
        <v>35000</v>
      </c>
      <c r="D6" s="54">
        <v>7</v>
      </c>
      <c r="E6" s="53">
        <v>500</v>
      </c>
    </row>
    <row r="7" spans="1:7" x14ac:dyDescent="0.25"/>
    <row r="8" spans="1:7" x14ac:dyDescent="0.25"/>
    <row r="9" spans="1:7" x14ac:dyDescent="0.25">
      <c r="A9" s="32"/>
      <c r="B9" s="32" t="s">
        <v>64</v>
      </c>
      <c r="C9" s="32"/>
      <c r="D9" s="32"/>
      <c r="E9" s="32"/>
      <c r="F9" s="32"/>
      <c r="G9" s="32"/>
    </row>
    <row r="10" spans="1:7" x14ac:dyDescent="0.25"/>
    <row r="11" spans="1:7" ht="18.75" x14ac:dyDescent="0.3">
      <c r="B11" s="44" t="s">
        <v>56</v>
      </c>
    </row>
    <row r="12" spans="1:7" x14ac:dyDescent="0.25">
      <c r="B12" s="45" t="s">
        <v>57</v>
      </c>
      <c r="C12" s="45" t="s">
        <v>58</v>
      </c>
      <c r="D12" s="45" t="s">
        <v>59</v>
      </c>
      <c r="E12" s="45" t="s">
        <v>60</v>
      </c>
      <c r="F12" s="45" t="s">
        <v>61</v>
      </c>
    </row>
    <row r="13" spans="1:7" x14ac:dyDescent="0.25">
      <c r="B13" s="46">
        <v>1</v>
      </c>
      <c r="C13" s="47">
        <f t="shared" ref="C13:C19" si="0">SLN($C$6,$E$6,$D$6)</f>
        <v>4928.5714285714284</v>
      </c>
      <c r="D13" s="47">
        <f t="shared" ref="D13:D19" si="1">DB($C$6,$E$6,$D$6,B13)</f>
        <v>15925</v>
      </c>
      <c r="E13" s="47">
        <f t="shared" ref="E13:E19" si="2">DDB($C$6,$E$6,$D$6,B13)</f>
        <v>10000</v>
      </c>
      <c r="F13" s="47">
        <f t="shared" ref="F13:F19" si="3">SYD($C$6,$E$6,$D$6,B13)</f>
        <v>8625</v>
      </c>
    </row>
    <row r="14" spans="1:7" x14ac:dyDescent="0.25">
      <c r="B14" s="46">
        <f>B13+1</f>
        <v>2</v>
      </c>
      <c r="C14" s="47">
        <f t="shared" si="0"/>
        <v>4928.5714285714284</v>
      </c>
      <c r="D14" s="47">
        <f t="shared" si="1"/>
        <v>8679.125</v>
      </c>
      <c r="E14" s="47">
        <f t="shared" si="2"/>
        <v>7142.8571428571422</v>
      </c>
      <c r="F14" s="47">
        <f t="shared" si="3"/>
        <v>7392.8571428571431</v>
      </c>
    </row>
    <row r="15" spans="1:7" x14ac:dyDescent="0.25">
      <c r="B15" s="46">
        <f t="shared" ref="B15:B19" si="4">B14+1</f>
        <v>3</v>
      </c>
      <c r="C15" s="47">
        <f t="shared" si="0"/>
        <v>4928.5714285714284</v>
      </c>
      <c r="D15" s="47">
        <f t="shared" si="1"/>
        <v>4730.1231250000001</v>
      </c>
      <c r="E15" s="47">
        <f t="shared" si="2"/>
        <v>5102.0408163265311</v>
      </c>
      <c r="F15" s="47">
        <f t="shared" si="3"/>
        <v>6160.7142857142853</v>
      </c>
    </row>
    <row r="16" spans="1:7" x14ac:dyDescent="0.25">
      <c r="B16" s="46">
        <f t="shared" si="4"/>
        <v>4</v>
      </c>
      <c r="C16" s="47">
        <f t="shared" si="0"/>
        <v>4928.5714285714284</v>
      </c>
      <c r="D16" s="47">
        <f t="shared" si="1"/>
        <v>2577.9171031250003</v>
      </c>
      <c r="E16" s="47">
        <f t="shared" si="2"/>
        <v>3644.3148688046649</v>
      </c>
      <c r="F16" s="47">
        <f t="shared" si="3"/>
        <v>4928.5714285714284</v>
      </c>
    </row>
    <row r="17" spans="1:7" x14ac:dyDescent="0.25">
      <c r="B17" s="46">
        <f t="shared" si="4"/>
        <v>5</v>
      </c>
      <c r="C17" s="47">
        <f t="shared" si="0"/>
        <v>4928.5714285714284</v>
      </c>
      <c r="D17" s="47">
        <f t="shared" si="1"/>
        <v>1404.964821203125</v>
      </c>
      <c r="E17" s="47">
        <f t="shared" si="2"/>
        <v>2603.0820491461891</v>
      </c>
      <c r="F17" s="47">
        <f t="shared" si="3"/>
        <v>3696.4285714285716</v>
      </c>
    </row>
    <row r="18" spans="1:7" x14ac:dyDescent="0.25">
      <c r="B18" s="46">
        <f t="shared" si="4"/>
        <v>6</v>
      </c>
      <c r="C18" s="47">
        <f t="shared" si="0"/>
        <v>4928.5714285714284</v>
      </c>
      <c r="D18" s="47">
        <f t="shared" si="1"/>
        <v>765.70582755570297</v>
      </c>
      <c r="E18" s="47">
        <f t="shared" si="2"/>
        <v>1859.3443208187064</v>
      </c>
      <c r="F18" s="47">
        <f t="shared" si="3"/>
        <v>2464.2857142857142</v>
      </c>
    </row>
    <row r="19" spans="1:7" x14ac:dyDescent="0.25">
      <c r="B19" s="46">
        <f t="shared" si="4"/>
        <v>7</v>
      </c>
      <c r="C19" s="47">
        <f t="shared" si="0"/>
        <v>4928.5714285714284</v>
      </c>
      <c r="D19" s="47">
        <f t="shared" si="1"/>
        <v>417.30967601785812</v>
      </c>
      <c r="E19" s="47">
        <f t="shared" si="2"/>
        <v>1328.103086299076</v>
      </c>
      <c r="F19" s="47">
        <f t="shared" si="3"/>
        <v>1232.1428571428571</v>
      </c>
    </row>
    <row r="20" spans="1:7" x14ac:dyDescent="0.25">
      <c r="B20" s="48"/>
      <c r="C20" s="48"/>
      <c r="E20" s="48"/>
    </row>
    <row r="21" spans="1:7" x14ac:dyDescent="0.25">
      <c r="A21" s="32"/>
      <c r="B21" s="32" t="s">
        <v>62</v>
      </c>
      <c r="C21" s="32"/>
      <c r="D21" s="32"/>
      <c r="E21" s="32"/>
      <c r="F21" s="32"/>
      <c r="G21" s="32"/>
    </row>
    <row r="22" spans="1:7" x14ac:dyDescent="0.25">
      <c r="C22" s="48"/>
    </row>
    <row r="23" spans="1:7" ht="18.75" x14ac:dyDescent="0.3">
      <c r="B23" s="44" t="s">
        <v>62</v>
      </c>
      <c r="D23" s="48"/>
    </row>
    <row r="24" spans="1:7" x14ac:dyDescent="0.25">
      <c r="B24" s="45" t="s">
        <v>57</v>
      </c>
      <c r="C24" s="45" t="s">
        <v>58</v>
      </c>
      <c r="D24" s="45" t="s">
        <v>59</v>
      </c>
      <c r="E24" s="45" t="s">
        <v>60</v>
      </c>
      <c r="F24" s="45" t="s">
        <v>61</v>
      </c>
    </row>
    <row r="25" spans="1:7" x14ac:dyDescent="0.25">
      <c r="B25" s="46">
        <v>0</v>
      </c>
      <c r="C25" s="47">
        <f>$C$6</f>
        <v>35000</v>
      </c>
      <c r="D25" s="47">
        <f>$C$6</f>
        <v>35000</v>
      </c>
      <c r="E25" s="47">
        <f>$C$6</f>
        <v>35000</v>
      </c>
      <c r="F25" s="47">
        <f>$C$6</f>
        <v>35000</v>
      </c>
    </row>
    <row r="26" spans="1:7" x14ac:dyDescent="0.25">
      <c r="B26" s="46">
        <f t="shared" ref="B26:B32" si="5">B13</f>
        <v>1</v>
      </c>
      <c r="C26" s="47">
        <f t="shared" ref="C26:F32" si="6">C25-C13</f>
        <v>30071.428571428572</v>
      </c>
      <c r="D26" s="47">
        <f t="shared" si="6"/>
        <v>19075</v>
      </c>
      <c r="E26" s="47">
        <f t="shared" si="6"/>
        <v>25000</v>
      </c>
      <c r="F26" s="47">
        <f t="shared" si="6"/>
        <v>26375</v>
      </c>
    </row>
    <row r="27" spans="1:7" x14ac:dyDescent="0.25">
      <c r="B27" s="46">
        <f t="shared" si="5"/>
        <v>2</v>
      </c>
      <c r="C27" s="47">
        <f t="shared" si="6"/>
        <v>25142.857142857145</v>
      </c>
      <c r="D27" s="47">
        <f t="shared" si="6"/>
        <v>10395.875</v>
      </c>
      <c r="E27" s="47">
        <f t="shared" si="6"/>
        <v>17857.142857142859</v>
      </c>
      <c r="F27" s="47">
        <f t="shared" si="6"/>
        <v>18982.142857142855</v>
      </c>
    </row>
    <row r="28" spans="1:7" x14ac:dyDescent="0.25">
      <c r="B28" s="46">
        <f t="shared" si="5"/>
        <v>3</v>
      </c>
      <c r="C28" s="47">
        <f t="shared" si="6"/>
        <v>20214.285714285717</v>
      </c>
      <c r="D28" s="47">
        <f t="shared" si="6"/>
        <v>5665.7518749999999</v>
      </c>
      <c r="E28" s="47">
        <f t="shared" si="6"/>
        <v>12755.102040816328</v>
      </c>
      <c r="F28" s="47">
        <f t="shared" si="6"/>
        <v>12821.428571428569</v>
      </c>
    </row>
    <row r="29" spans="1:7" x14ac:dyDescent="0.25">
      <c r="B29" s="46">
        <f t="shared" si="5"/>
        <v>4</v>
      </c>
      <c r="C29" s="47">
        <f t="shared" si="6"/>
        <v>15285.71428571429</v>
      </c>
      <c r="D29" s="47">
        <f t="shared" si="6"/>
        <v>3087.8347718749997</v>
      </c>
      <c r="E29" s="47">
        <f t="shared" si="6"/>
        <v>9110.7871720116636</v>
      </c>
      <c r="F29" s="47">
        <f t="shared" si="6"/>
        <v>7892.8571428571404</v>
      </c>
    </row>
    <row r="30" spans="1:7" x14ac:dyDescent="0.25">
      <c r="B30" s="46">
        <f t="shared" si="5"/>
        <v>5</v>
      </c>
      <c r="C30" s="47">
        <f t="shared" si="6"/>
        <v>10357.142857142862</v>
      </c>
      <c r="D30" s="47">
        <f t="shared" si="6"/>
        <v>1682.8699506718747</v>
      </c>
      <c r="E30" s="47">
        <f t="shared" si="6"/>
        <v>6507.7051228654746</v>
      </c>
      <c r="F30" s="47">
        <f t="shared" si="6"/>
        <v>4196.4285714285688</v>
      </c>
    </row>
    <row r="31" spans="1:7" x14ac:dyDescent="0.25">
      <c r="B31" s="46">
        <f t="shared" si="5"/>
        <v>6</v>
      </c>
      <c r="C31" s="47">
        <f t="shared" si="6"/>
        <v>5428.5714285714339</v>
      </c>
      <c r="D31" s="47">
        <f t="shared" si="6"/>
        <v>917.16412311617171</v>
      </c>
      <c r="E31" s="47">
        <f t="shared" si="6"/>
        <v>4648.3608020467682</v>
      </c>
      <c r="F31" s="47">
        <f t="shared" si="6"/>
        <v>1732.1428571428546</v>
      </c>
    </row>
    <row r="32" spans="1:7" x14ac:dyDescent="0.25">
      <c r="B32" s="46">
        <f t="shared" si="5"/>
        <v>7</v>
      </c>
      <c r="C32" s="47">
        <f t="shared" si="6"/>
        <v>500.00000000000546</v>
      </c>
      <c r="D32" s="47">
        <f t="shared" si="6"/>
        <v>499.85444709831359</v>
      </c>
      <c r="E32" s="47">
        <f t="shared" si="6"/>
        <v>3320.2577157476921</v>
      </c>
      <c r="F32" s="47">
        <f t="shared" si="6"/>
        <v>499.9999999999975</v>
      </c>
    </row>
    <row r="33" spans="1:8" x14ac:dyDescent="0.25"/>
    <row r="34" spans="1:8" x14ac:dyDescent="0.25">
      <c r="A34" s="50"/>
      <c r="B34" s="50" t="s">
        <v>16</v>
      </c>
      <c r="C34" s="50"/>
      <c r="D34" s="50"/>
      <c r="E34" s="50"/>
      <c r="F34" s="50"/>
      <c r="G34" s="50"/>
      <c r="H34" s="50"/>
    </row>
    <row r="35" spans="1:8" x14ac:dyDescent="0.25"/>
    <row r="36" spans="1:8" hidden="1" x14ac:dyDescent="0.25"/>
    <row r="37" spans="1:8" hidden="1" x14ac:dyDescent="0.25"/>
    <row r="38" spans="1:8" hidden="1" x14ac:dyDescent="0.25"/>
    <row r="39" spans="1:8" hidden="1" x14ac:dyDescent="0.25"/>
    <row r="40" spans="1:8" hidden="1" x14ac:dyDescent="0.25"/>
    <row r="41" spans="1:8" hidden="1" x14ac:dyDescent="0.25"/>
    <row r="42" spans="1:8" hidden="1" x14ac:dyDescent="0.25"/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showGridLines="0" zoomScale="90" zoomScaleNormal="90" workbookViewId="0">
      <selection activeCell="E32" sqref="E32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14" x14ac:dyDescent="0.25">
      <c r="A1" s="61" t="s">
        <v>2</v>
      </c>
      <c r="B1" s="61"/>
      <c r="C1" s="61"/>
      <c r="D1" s="61"/>
      <c r="E1" s="61"/>
      <c r="F1" s="61"/>
    </row>
    <row r="2" spans="1:14" x14ac:dyDescent="0.25">
      <c r="A2" s="62" t="s">
        <v>85</v>
      </c>
      <c r="F2" s="59"/>
    </row>
    <row r="4" spans="1:14" x14ac:dyDescent="0.25">
      <c r="B4" s="57" t="s">
        <v>65</v>
      </c>
      <c r="C4" s="57" t="s">
        <v>66</v>
      </c>
      <c r="D4" s="57" t="s">
        <v>84</v>
      </c>
      <c r="E4" s="58"/>
    </row>
    <row r="5" spans="1:14" x14ac:dyDescent="0.25">
      <c r="B5" s="60" t="s">
        <v>68</v>
      </c>
      <c r="C5" s="60"/>
      <c r="D5" s="60"/>
    </row>
    <row r="8" spans="1:14" x14ac:dyDescent="0.25">
      <c r="A8" s="61" t="s">
        <v>2</v>
      </c>
      <c r="B8" s="61"/>
      <c r="C8" s="61"/>
      <c r="D8" s="61"/>
      <c r="E8" s="61"/>
      <c r="F8" s="61"/>
    </row>
    <row r="9" spans="1:14" x14ac:dyDescent="0.25">
      <c r="A9" s="62" t="s">
        <v>86</v>
      </c>
      <c r="F9" s="59"/>
    </row>
    <row r="11" spans="1:14" x14ac:dyDescent="0.25">
      <c r="B11" s="56" t="s">
        <v>65</v>
      </c>
      <c r="C11" s="56" t="s">
        <v>70</v>
      </c>
      <c r="D11" s="56" t="s">
        <v>66</v>
      </c>
      <c r="E11" s="56" t="s">
        <v>84</v>
      </c>
      <c r="F11" s="56" t="s">
        <v>71</v>
      </c>
      <c r="J11"/>
      <c r="K11"/>
      <c r="L11"/>
      <c r="M11"/>
      <c r="N11"/>
    </row>
    <row r="12" spans="1:14" x14ac:dyDescent="0.25">
      <c r="B12" s="60" t="s">
        <v>68</v>
      </c>
      <c r="C12" s="60" t="s">
        <v>72</v>
      </c>
      <c r="D12" s="60" t="s">
        <v>80</v>
      </c>
      <c r="E12" s="60">
        <v>42</v>
      </c>
      <c r="F12" s="67">
        <v>283800</v>
      </c>
      <c r="G12" s="68"/>
      <c r="J12"/>
      <c r="K12"/>
      <c r="L12"/>
      <c r="M12"/>
      <c r="N12"/>
    </row>
    <row r="13" spans="1:14" x14ac:dyDescent="0.25">
      <c r="B13" s="60" t="s">
        <v>68</v>
      </c>
      <c r="C13" s="60" t="s">
        <v>73</v>
      </c>
      <c r="D13" s="60" t="s">
        <v>81</v>
      </c>
      <c r="E13" s="60">
        <v>40</v>
      </c>
      <c r="F13" s="67">
        <v>507200</v>
      </c>
      <c r="G13" s="68"/>
      <c r="J13"/>
      <c r="K13"/>
      <c r="L13"/>
      <c r="M13"/>
      <c r="N13"/>
    </row>
    <row r="14" spans="1:14" x14ac:dyDescent="0.25">
      <c r="B14" s="60" t="s">
        <v>68</v>
      </c>
      <c r="C14" s="60" t="s">
        <v>74</v>
      </c>
      <c r="D14" s="60" t="s">
        <v>82</v>
      </c>
      <c r="E14" s="60">
        <v>38</v>
      </c>
      <c r="F14" s="67">
        <v>107600</v>
      </c>
      <c r="G14" s="68"/>
      <c r="J14"/>
      <c r="K14"/>
      <c r="L14"/>
      <c r="M14"/>
      <c r="N14"/>
    </row>
    <row r="15" spans="1:14" x14ac:dyDescent="0.25">
      <c r="B15" s="60" t="s">
        <v>68</v>
      </c>
      <c r="C15" s="60" t="s">
        <v>69</v>
      </c>
      <c r="D15" s="60" t="s">
        <v>83</v>
      </c>
      <c r="E15" s="60">
        <v>46</v>
      </c>
      <c r="F15" s="67">
        <v>391600</v>
      </c>
      <c r="G15" s="68"/>
      <c r="J15"/>
      <c r="K15"/>
      <c r="L15"/>
      <c r="M15"/>
      <c r="N15"/>
    </row>
    <row r="16" spans="1:14" x14ac:dyDescent="0.25">
      <c r="B16" s="60" t="s">
        <v>68</v>
      </c>
      <c r="C16" s="60" t="s">
        <v>75</v>
      </c>
      <c r="D16" s="60" t="s">
        <v>80</v>
      </c>
      <c r="E16" s="60">
        <v>36</v>
      </c>
      <c r="F16" s="67">
        <v>226700</v>
      </c>
      <c r="G16" s="68"/>
      <c r="J16"/>
      <c r="K16"/>
      <c r="L16"/>
      <c r="M16"/>
      <c r="N16"/>
    </row>
    <row r="17" spans="1:14" x14ac:dyDescent="0.25">
      <c r="B17" s="60" t="s">
        <v>67</v>
      </c>
      <c r="C17" s="60" t="s">
        <v>76</v>
      </c>
      <c r="D17" s="60" t="s">
        <v>80</v>
      </c>
      <c r="E17" s="60">
        <v>48</v>
      </c>
      <c r="F17" s="67">
        <v>411800</v>
      </c>
      <c r="G17" s="68"/>
      <c r="J17"/>
      <c r="K17"/>
      <c r="L17"/>
      <c r="M17"/>
      <c r="N17"/>
    </row>
    <row r="18" spans="1:14" x14ac:dyDescent="0.25">
      <c r="B18" s="60" t="s">
        <v>67</v>
      </c>
      <c r="C18" s="60" t="s">
        <v>77</v>
      </c>
      <c r="D18" s="60" t="s">
        <v>80</v>
      </c>
      <c r="E18" s="60">
        <v>29</v>
      </c>
      <c r="F18" s="67">
        <v>154200</v>
      </c>
      <c r="G18" s="68"/>
      <c r="J18"/>
      <c r="K18"/>
      <c r="L18"/>
      <c r="M18"/>
      <c r="N18"/>
    </row>
    <row r="19" spans="1:14" x14ac:dyDescent="0.25">
      <c r="B19" s="60" t="s">
        <v>67</v>
      </c>
      <c r="C19" s="60" t="s">
        <v>78</v>
      </c>
      <c r="D19" s="60" t="s">
        <v>83</v>
      </c>
      <c r="E19" s="60">
        <v>33</v>
      </c>
      <c r="F19" s="67">
        <v>258000</v>
      </c>
      <c r="G19" s="68"/>
      <c r="J19"/>
      <c r="K19"/>
      <c r="L19"/>
      <c r="M19"/>
      <c r="N19"/>
    </row>
    <row r="20" spans="1:14" x14ac:dyDescent="0.25">
      <c r="B20" s="60" t="s">
        <v>67</v>
      </c>
      <c r="C20" s="60" t="s">
        <v>79</v>
      </c>
      <c r="D20" s="60" t="s">
        <v>83</v>
      </c>
      <c r="E20" s="60">
        <v>34</v>
      </c>
      <c r="F20" s="67">
        <v>233800</v>
      </c>
      <c r="G20" s="68"/>
      <c r="J20"/>
      <c r="K20"/>
      <c r="L20"/>
      <c r="M20"/>
      <c r="N20"/>
    </row>
    <row r="21" spans="1:14" x14ac:dyDescent="0.25">
      <c r="G21" s="68"/>
    </row>
    <row r="22" spans="1:14" x14ac:dyDescent="0.25">
      <c r="A22" s="61" t="s">
        <v>2</v>
      </c>
      <c r="B22" s="61"/>
      <c r="C22" s="61"/>
      <c r="D22" s="61"/>
      <c r="E22" s="61"/>
      <c r="F22" s="61"/>
    </row>
    <row r="23" spans="1:14" x14ac:dyDescent="0.25">
      <c r="A23" s="62" t="s">
        <v>18</v>
      </c>
      <c r="F23" s="59"/>
    </row>
    <row r="25" spans="1:14" x14ac:dyDescent="0.25">
      <c r="A25" s="4"/>
      <c r="B25" s="4" t="s">
        <v>9</v>
      </c>
      <c r="C25" s="4"/>
      <c r="D25" s="4"/>
      <c r="E25" s="4"/>
      <c r="F25" s="4"/>
    </row>
    <row r="26" spans="1:14" x14ac:dyDescent="0.25">
      <c r="H26" s="63"/>
      <c r="I26" s="62"/>
    </row>
    <row r="27" spans="1:14" x14ac:dyDescent="0.25">
      <c r="B27" s="59" t="s">
        <v>65</v>
      </c>
      <c r="E27" s="64" t="str">
        <f>B5</f>
        <v>Jan</v>
      </c>
      <c r="H27" s="63"/>
      <c r="I27" s="62"/>
    </row>
    <row r="28" spans="1:14" x14ac:dyDescent="0.25">
      <c r="B28" s="59" t="s">
        <v>66</v>
      </c>
      <c r="E28" s="64">
        <f>C5</f>
        <v>0</v>
      </c>
      <c r="H28" s="63"/>
      <c r="I28" s="62"/>
    </row>
    <row r="29" spans="1:14" x14ac:dyDescent="0.25">
      <c r="B29" s="59" t="s">
        <v>84</v>
      </c>
      <c r="E29" s="64">
        <f>D5</f>
        <v>0</v>
      </c>
      <c r="H29" s="63"/>
      <c r="I29" s="62"/>
    </row>
    <row r="30" spans="1:14" x14ac:dyDescent="0.25">
      <c r="A30" s="4"/>
      <c r="B30" s="4" t="s">
        <v>87</v>
      </c>
      <c r="C30" s="4"/>
      <c r="D30" s="4"/>
      <c r="E30" s="4"/>
      <c r="F30" s="4"/>
    </row>
    <row r="32" spans="1:14" x14ac:dyDescent="0.25">
      <c r="B32" s="65" t="s">
        <v>88</v>
      </c>
      <c r="E32" s="66">
        <f>DSUM(B11:F20,F11,B4:D5)</f>
        <v>1516900</v>
      </c>
    </row>
    <row r="33" spans="2:5" x14ac:dyDescent="0.25">
      <c r="B33" s="65" t="s">
        <v>89</v>
      </c>
      <c r="E33" s="66">
        <f>DAVERAGE(B11:F20,F11,B4:D5)</f>
        <v>303380</v>
      </c>
    </row>
    <row r="34" spans="2:5" x14ac:dyDescent="0.25">
      <c r="B34" s="65" t="s">
        <v>90</v>
      </c>
      <c r="E34" s="66">
        <f>DMAX(B11:F20,F11,B4:D5)</f>
        <v>507200</v>
      </c>
    </row>
    <row r="35" spans="2:5" x14ac:dyDescent="0.25">
      <c r="B35" s="65" t="s">
        <v>91</v>
      </c>
      <c r="E35" s="66">
        <f>DMIN(B11:F20,F11,B4:D5)</f>
        <v>107600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showGridLines="0" zoomScale="90" zoomScaleNormal="90" workbookViewId="0">
      <selection activeCell="H32" sqref="H32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6" x14ac:dyDescent="0.25">
      <c r="A1" s="61" t="s">
        <v>2</v>
      </c>
      <c r="B1" s="61"/>
      <c r="C1" s="61"/>
      <c r="D1" s="61"/>
      <c r="E1" s="61"/>
      <c r="F1" s="61"/>
    </row>
    <row r="2" spans="1:6" x14ac:dyDescent="0.25">
      <c r="A2" s="62" t="s">
        <v>85</v>
      </c>
      <c r="F2" s="59"/>
    </row>
    <row r="4" spans="1:6" x14ac:dyDescent="0.25">
      <c r="B4" s="57" t="s">
        <v>65</v>
      </c>
      <c r="C4" s="57" t="s">
        <v>66</v>
      </c>
      <c r="D4" s="57" t="s">
        <v>84</v>
      </c>
      <c r="E4" s="58"/>
    </row>
    <row r="5" spans="1:6" x14ac:dyDescent="0.25">
      <c r="B5" s="60" t="s">
        <v>68</v>
      </c>
      <c r="C5" s="60"/>
      <c r="D5" s="60"/>
    </row>
    <row r="6" spans="1:6" x14ac:dyDescent="0.25">
      <c r="B6" s="60" t="s">
        <v>67</v>
      </c>
      <c r="C6" s="60"/>
      <c r="D6" s="60"/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showGridLines="0" zoomScale="90" zoomScaleNormal="90" workbookViewId="0">
      <selection activeCell="I18" sqref="I18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6" x14ac:dyDescent="0.25">
      <c r="A1" s="61" t="s">
        <v>2</v>
      </c>
      <c r="B1" s="61"/>
      <c r="C1" s="61"/>
      <c r="D1" s="61"/>
      <c r="E1" s="61"/>
      <c r="F1" s="61"/>
    </row>
    <row r="2" spans="1:6" x14ac:dyDescent="0.25">
      <c r="A2" s="62" t="s">
        <v>85</v>
      </c>
      <c r="F2" s="59"/>
    </row>
    <row r="4" spans="1:6" ht="15.75" thickBot="1" x14ac:dyDescent="0.3">
      <c r="B4" s="62" t="s">
        <v>92</v>
      </c>
    </row>
    <row r="5" spans="1:6" x14ac:dyDescent="0.25">
      <c r="B5" s="69"/>
      <c r="C5" s="70"/>
      <c r="D5" s="70"/>
      <c r="E5" s="71"/>
    </row>
    <row r="6" spans="1:6" ht="30" x14ac:dyDescent="0.25">
      <c r="B6" s="75" t="s">
        <v>94</v>
      </c>
      <c r="C6" s="76" t="s">
        <v>95</v>
      </c>
      <c r="D6" s="76" t="s">
        <v>125</v>
      </c>
      <c r="E6" s="77" t="s">
        <v>126</v>
      </c>
    </row>
    <row r="7" spans="1:6" x14ac:dyDescent="0.25">
      <c r="B7" s="78">
        <f>'Figure 11-19'!E32</f>
        <v>1516900</v>
      </c>
      <c r="C7" s="79">
        <f>'Figure 11-19'!E33</f>
        <v>303380</v>
      </c>
      <c r="D7" s="79">
        <f>'Figure 11-19'!E35</f>
        <v>107600</v>
      </c>
      <c r="E7" s="80">
        <f>'Figure 11-19'!E34</f>
        <v>507200</v>
      </c>
    </row>
    <row r="8" spans="1:6" ht="15.75" thickBot="1" x14ac:dyDescent="0.3">
      <c r="B8" s="72"/>
      <c r="C8" s="73"/>
      <c r="D8" s="73"/>
      <c r="E8" s="74"/>
    </row>
    <row r="10" spans="1:6" x14ac:dyDescent="0.25">
      <c r="A10" s="4"/>
      <c r="B10" s="4" t="s">
        <v>93</v>
      </c>
      <c r="C10" s="4"/>
      <c r="D10" s="4"/>
      <c r="E10" s="4"/>
      <c r="F10" s="4"/>
    </row>
    <row r="12" spans="1:6" x14ac:dyDescent="0.25">
      <c r="B12" s="57" t="s">
        <v>65</v>
      </c>
      <c r="C12" s="57" t="s">
        <v>66</v>
      </c>
      <c r="D12" s="57" t="s">
        <v>84</v>
      </c>
      <c r="E12" s="58"/>
    </row>
    <row r="13" spans="1:6" x14ac:dyDescent="0.25">
      <c r="B13" s="60" t="s">
        <v>68</v>
      </c>
      <c r="C13" s="60"/>
      <c r="D13" s="60"/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I19"/>
  <sheetViews>
    <sheetView showGridLines="0" zoomScale="90" zoomScaleNormal="90" workbookViewId="0">
      <selection activeCell="E11" sqref="E11"/>
    </sheetView>
  </sheetViews>
  <sheetFormatPr defaultColWidth="0" defaultRowHeight="15" zeroHeight="1" x14ac:dyDescent="0.25"/>
  <cols>
    <col min="1" max="1" width="3.42578125" style="81" customWidth="1"/>
    <col min="2" max="2" width="18.7109375" style="81" customWidth="1"/>
    <col min="3" max="3" width="22.42578125" style="81" customWidth="1"/>
    <col min="4" max="8" width="9.140625" style="81" customWidth="1"/>
    <col min="9" max="9" width="3.7109375" style="82" customWidth="1"/>
    <col min="10" max="10" width="4" style="81" customWidth="1"/>
    <col min="11" max="255" width="9.140625" style="81" hidden="1"/>
    <col min="256" max="256" width="2.85546875" style="81" hidden="1"/>
    <col min="257" max="257" width="22.42578125" style="81" hidden="1"/>
    <col min="258" max="511" width="9.140625" style="81" hidden="1"/>
    <col min="512" max="512" width="2.85546875" style="81" hidden="1"/>
    <col min="513" max="513" width="22.42578125" style="81" hidden="1"/>
    <col min="514" max="767" width="9.140625" style="81" hidden="1"/>
    <col min="768" max="768" width="2.85546875" style="81" hidden="1"/>
    <col min="769" max="769" width="22.42578125" style="81" hidden="1"/>
    <col min="770" max="1023" width="9.140625" style="81" hidden="1"/>
    <col min="1024" max="1024" width="2.85546875" style="81" hidden="1"/>
    <col min="1025" max="1025" width="22.42578125" style="81" hidden="1"/>
    <col min="1026" max="1279" width="9.140625" style="81" hidden="1"/>
    <col min="1280" max="1280" width="2.85546875" style="81" hidden="1"/>
    <col min="1281" max="1281" width="22.42578125" style="81" hidden="1"/>
    <col min="1282" max="1535" width="9.140625" style="81" hidden="1"/>
    <col min="1536" max="1536" width="2.85546875" style="81" hidden="1"/>
    <col min="1537" max="1537" width="22.42578125" style="81" hidden="1"/>
    <col min="1538" max="1791" width="9.140625" style="81" hidden="1"/>
    <col min="1792" max="1792" width="2.85546875" style="81" hidden="1"/>
    <col min="1793" max="1793" width="22.42578125" style="81" hidden="1"/>
    <col min="1794" max="2047" width="9.140625" style="81" hidden="1"/>
    <col min="2048" max="2048" width="2.85546875" style="81" hidden="1"/>
    <col min="2049" max="2049" width="22.42578125" style="81" hidden="1"/>
    <col min="2050" max="2303" width="9.140625" style="81" hidden="1"/>
    <col min="2304" max="2304" width="2.85546875" style="81" hidden="1"/>
    <col min="2305" max="2305" width="22.42578125" style="81" hidden="1"/>
    <col min="2306" max="2559" width="9.140625" style="81" hidden="1"/>
    <col min="2560" max="2560" width="2.85546875" style="81" hidden="1"/>
    <col min="2561" max="2561" width="22.42578125" style="81" hidden="1"/>
    <col min="2562" max="2815" width="9.140625" style="81" hidden="1"/>
    <col min="2816" max="2816" width="2.85546875" style="81" hidden="1"/>
    <col min="2817" max="2817" width="22.42578125" style="81" hidden="1"/>
    <col min="2818" max="3071" width="9.140625" style="81" hidden="1"/>
    <col min="3072" max="3072" width="2.85546875" style="81" hidden="1"/>
    <col min="3073" max="3073" width="22.42578125" style="81" hidden="1"/>
    <col min="3074" max="3327" width="9.140625" style="81" hidden="1"/>
    <col min="3328" max="3328" width="2.85546875" style="81" hidden="1"/>
    <col min="3329" max="3329" width="22.42578125" style="81" hidden="1"/>
    <col min="3330" max="3583" width="9.140625" style="81" hidden="1"/>
    <col min="3584" max="3584" width="2.85546875" style="81" hidden="1"/>
    <col min="3585" max="3585" width="22.42578125" style="81" hidden="1"/>
    <col min="3586" max="3839" width="9.140625" style="81" hidden="1"/>
    <col min="3840" max="3840" width="2.85546875" style="81" hidden="1"/>
    <col min="3841" max="3841" width="22.42578125" style="81" hidden="1"/>
    <col min="3842" max="4095" width="9.140625" style="81" hidden="1"/>
    <col min="4096" max="4096" width="2.85546875" style="81" hidden="1"/>
    <col min="4097" max="4097" width="22.42578125" style="81" hidden="1"/>
    <col min="4098" max="4351" width="9.140625" style="81" hidden="1"/>
    <col min="4352" max="4352" width="2.85546875" style="81" hidden="1"/>
    <col min="4353" max="4353" width="22.42578125" style="81" hidden="1"/>
    <col min="4354" max="4607" width="9.140625" style="81" hidden="1"/>
    <col min="4608" max="4608" width="2.85546875" style="81" hidden="1"/>
    <col min="4609" max="4609" width="22.42578125" style="81" hidden="1"/>
    <col min="4610" max="4863" width="9.140625" style="81" hidden="1"/>
    <col min="4864" max="4864" width="2.85546875" style="81" hidden="1"/>
    <col min="4865" max="4865" width="22.42578125" style="81" hidden="1"/>
    <col min="4866" max="5119" width="9.140625" style="81" hidden="1"/>
    <col min="5120" max="5120" width="2.85546875" style="81" hidden="1"/>
    <col min="5121" max="5121" width="22.42578125" style="81" hidden="1"/>
    <col min="5122" max="5375" width="9.140625" style="81" hidden="1"/>
    <col min="5376" max="5376" width="2.85546875" style="81" hidden="1"/>
    <col min="5377" max="5377" width="22.42578125" style="81" hidden="1"/>
    <col min="5378" max="5631" width="9.140625" style="81" hidden="1"/>
    <col min="5632" max="5632" width="2.85546875" style="81" hidden="1"/>
    <col min="5633" max="5633" width="22.42578125" style="81" hidden="1"/>
    <col min="5634" max="5887" width="9.140625" style="81" hidden="1"/>
    <col min="5888" max="5888" width="2.85546875" style="81" hidden="1"/>
    <col min="5889" max="5889" width="22.42578125" style="81" hidden="1"/>
    <col min="5890" max="6143" width="9.140625" style="81" hidden="1"/>
    <col min="6144" max="6144" width="2.85546875" style="81" hidden="1"/>
    <col min="6145" max="6145" width="22.42578125" style="81" hidden="1"/>
    <col min="6146" max="6399" width="9.140625" style="81" hidden="1"/>
    <col min="6400" max="6400" width="2.85546875" style="81" hidden="1"/>
    <col min="6401" max="6401" width="22.42578125" style="81" hidden="1"/>
    <col min="6402" max="6655" width="9.140625" style="81" hidden="1"/>
    <col min="6656" max="6656" width="2.85546875" style="81" hidden="1"/>
    <col min="6657" max="6657" width="22.42578125" style="81" hidden="1"/>
    <col min="6658" max="6911" width="9.140625" style="81" hidden="1"/>
    <col min="6912" max="6912" width="2.85546875" style="81" hidden="1"/>
    <col min="6913" max="6913" width="22.42578125" style="81" hidden="1"/>
    <col min="6914" max="7167" width="9.140625" style="81" hidden="1"/>
    <col min="7168" max="7168" width="2.85546875" style="81" hidden="1"/>
    <col min="7169" max="7169" width="22.42578125" style="81" hidden="1"/>
    <col min="7170" max="7423" width="9.140625" style="81" hidden="1"/>
    <col min="7424" max="7424" width="2.85546875" style="81" hidden="1"/>
    <col min="7425" max="7425" width="22.42578125" style="81" hidden="1"/>
    <col min="7426" max="7679" width="9.140625" style="81" hidden="1"/>
    <col min="7680" max="7680" width="2.85546875" style="81" hidden="1"/>
    <col min="7681" max="7681" width="22.42578125" style="81" hidden="1"/>
    <col min="7682" max="7935" width="9.140625" style="81" hidden="1"/>
    <col min="7936" max="7936" width="2.85546875" style="81" hidden="1"/>
    <col min="7937" max="7937" width="22.42578125" style="81" hidden="1"/>
    <col min="7938" max="8191" width="9.140625" style="81" hidden="1"/>
    <col min="8192" max="8192" width="2.85546875" style="81" hidden="1"/>
    <col min="8193" max="8193" width="22.42578125" style="81" hidden="1"/>
    <col min="8194" max="8447" width="9.140625" style="81" hidden="1"/>
    <col min="8448" max="8448" width="2.85546875" style="81" hidden="1"/>
    <col min="8449" max="8449" width="22.42578125" style="81" hidden="1"/>
    <col min="8450" max="8703" width="9.140625" style="81" hidden="1"/>
    <col min="8704" max="8704" width="2.85546875" style="81" hidden="1"/>
    <col min="8705" max="8705" width="22.42578125" style="81" hidden="1"/>
    <col min="8706" max="8959" width="9.140625" style="81" hidden="1"/>
    <col min="8960" max="8960" width="2.85546875" style="81" hidden="1"/>
    <col min="8961" max="8961" width="22.42578125" style="81" hidden="1"/>
    <col min="8962" max="9215" width="9.140625" style="81" hidden="1"/>
    <col min="9216" max="9216" width="2.85546875" style="81" hidden="1"/>
    <col min="9217" max="9217" width="22.42578125" style="81" hidden="1"/>
    <col min="9218" max="9471" width="9.140625" style="81" hidden="1"/>
    <col min="9472" max="9472" width="2.85546875" style="81" hidden="1"/>
    <col min="9473" max="9473" width="22.42578125" style="81" hidden="1"/>
    <col min="9474" max="9727" width="9.140625" style="81" hidden="1"/>
    <col min="9728" max="9728" width="2.85546875" style="81" hidden="1"/>
    <col min="9729" max="9729" width="22.42578125" style="81" hidden="1"/>
    <col min="9730" max="9983" width="9.140625" style="81" hidden="1"/>
    <col min="9984" max="9984" width="2.85546875" style="81" hidden="1"/>
    <col min="9985" max="9985" width="22.42578125" style="81" hidden="1"/>
    <col min="9986" max="10239" width="9.140625" style="81" hidden="1"/>
    <col min="10240" max="10240" width="2.85546875" style="81" hidden="1"/>
    <col min="10241" max="10241" width="22.42578125" style="81" hidden="1"/>
    <col min="10242" max="10495" width="9.140625" style="81" hidden="1"/>
    <col min="10496" max="10496" width="2.85546875" style="81" hidden="1"/>
    <col min="10497" max="10497" width="22.42578125" style="81" hidden="1"/>
    <col min="10498" max="10751" width="9.140625" style="81" hidden="1"/>
    <col min="10752" max="10752" width="2.85546875" style="81" hidden="1"/>
    <col min="10753" max="10753" width="22.42578125" style="81" hidden="1"/>
    <col min="10754" max="11007" width="9.140625" style="81" hidden="1"/>
    <col min="11008" max="11008" width="2.85546875" style="81" hidden="1"/>
    <col min="11009" max="11009" width="22.42578125" style="81" hidden="1"/>
    <col min="11010" max="11263" width="9.140625" style="81" hidden="1"/>
    <col min="11264" max="11264" width="2.85546875" style="81" hidden="1"/>
    <col min="11265" max="11265" width="22.42578125" style="81" hidden="1"/>
    <col min="11266" max="11519" width="9.140625" style="81" hidden="1"/>
    <col min="11520" max="11520" width="2.85546875" style="81" hidden="1"/>
    <col min="11521" max="11521" width="22.42578125" style="81" hidden="1"/>
    <col min="11522" max="11775" width="9.140625" style="81" hidden="1"/>
    <col min="11776" max="11776" width="2.85546875" style="81" hidden="1"/>
    <col min="11777" max="11777" width="22.42578125" style="81" hidden="1"/>
    <col min="11778" max="12031" width="9.140625" style="81" hidden="1"/>
    <col min="12032" max="12032" width="2.85546875" style="81" hidden="1"/>
    <col min="12033" max="12033" width="22.42578125" style="81" hidden="1"/>
    <col min="12034" max="12287" width="9.140625" style="81" hidden="1"/>
    <col min="12288" max="12288" width="2.85546875" style="81" hidden="1"/>
    <col min="12289" max="12289" width="22.42578125" style="81" hidden="1"/>
    <col min="12290" max="12543" width="9.140625" style="81" hidden="1"/>
    <col min="12544" max="12544" width="2.85546875" style="81" hidden="1"/>
    <col min="12545" max="12545" width="22.42578125" style="81" hidden="1"/>
    <col min="12546" max="12799" width="9.140625" style="81" hidden="1"/>
    <col min="12800" max="12800" width="2.85546875" style="81" hidden="1"/>
    <col min="12801" max="12801" width="22.42578125" style="81" hidden="1"/>
    <col min="12802" max="13055" width="9.140625" style="81" hidden="1"/>
    <col min="13056" max="13056" width="2.85546875" style="81" hidden="1"/>
    <col min="13057" max="13057" width="22.42578125" style="81" hidden="1"/>
    <col min="13058" max="13311" width="9.140625" style="81" hidden="1"/>
    <col min="13312" max="13312" width="2.85546875" style="81" hidden="1"/>
    <col min="13313" max="13313" width="22.42578125" style="81" hidden="1"/>
    <col min="13314" max="13567" width="9.140625" style="81" hidden="1"/>
    <col min="13568" max="13568" width="2.85546875" style="81" hidden="1"/>
    <col min="13569" max="13569" width="22.42578125" style="81" hidden="1"/>
    <col min="13570" max="13823" width="9.140625" style="81" hidden="1"/>
    <col min="13824" max="13824" width="2.85546875" style="81" hidden="1"/>
    <col min="13825" max="13825" width="22.42578125" style="81" hidden="1"/>
    <col min="13826" max="14079" width="9.140625" style="81" hidden="1"/>
    <col min="14080" max="14080" width="2.85546875" style="81" hidden="1"/>
    <col min="14081" max="14081" width="22.42578125" style="81" hidden="1"/>
    <col min="14082" max="14335" width="9.140625" style="81" hidden="1"/>
    <col min="14336" max="14336" width="2.85546875" style="81" hidden="1"/>
    <col min="14337" max="14337" width="22.42578125" style="81" hidden="1"/>
    <col min="14338" max="14591" width="9.140625" style="81" hidden="1"/>
    <col min="14592" max="14592" width="2.85546875" style="81" hidden="1"/>
    <col min="14593" max="14593" width="22.42578125" style="81" hidden="1"/>
    <col min="14594" max="14847" width="9.140625" style="81" hidden="1"/>
    <col min="14848" max="14848" width="2.85546875" style="81" hidden="1"/>
    <col min="14849" max="14849" width="22.42578125" style="81" hidden="1"/>
    <col min="14850" max="15103" width="9.140625" style="81" hidden="1"/>
    <col min="15104" max="15104" width="2.85546875" style="81" hidden="1"/>
    <col min="15105" max="15105" width="22.42578125" style="81" hidden="1"/>
    <col min="15106" max="15359" width="9.140625" style="81" hidden="1"/>
    <col min="15360" max="15360" width="2.85546875" style="81" hidden="1"/>
    <col min="15361" max="15361" width="22.42578125" style="81" hidden="1"/>
    <col min="15362" max="15615" width="9.140625" style="81" hidden="1"/>
    <col min="15616" max="15616" width="2.85546875" style="81" hidden="1"/>
    <col min="15617" max="15617" width="22.42578125" style="81" hidden="1"/>
    <col min="15618" max="15871" width="9.140625" style="81" hidden="1"/>
    <col min="15872" max="15872" width="2.85546875" style="81" hidden="1"/>
    <col min="15873" max="15873" width="22.42578125" style="81" hidden="1"/>
    <col min="15874" max="16127" width="9.140625" style="81" hidden="1"/>
    <col min="16128" max="16128" width="2.85546875" style="81" hidden="1"/>
    <col min="16129" max="16129" width="22.42578125" style="81" hidden="1"/>
    <col min="16130" max="16384" width="9.140625" style="81" hidden="1"/>
  </cols>
  <sheetData>
    <row r="1" spans="1:9" x14ac:dyDescent="0.25">
      <c r="A1" s="61" t="s">
        <v>2</v>
      </c>
      <c r="B1" s="61"/>
      <c r="C1" s="61"/>
      <c r="D1" s="61"/>
      <c r="E1" s="61"/>
      <c r="F1" s="61"/>
      <c r="G1" s="61"/>
      <c r="H1" s="61"/>
      <c r="I1" s="61"/>
    </row>
    <row r="2" spans="1:9" x14ac:dyDescent="0.25">
      <c r="A2" s="62" t="s">
        <v>18</v>
      </c>
      <c r="C2" s="59"/>
      <c r="D2" s="59"/>
      <c r="E2" s="59"/>
      <c r="F2" s="59"/>
      <c r="G2" s="59"/>
    </row>
    <row r="3" spans="1:9" x14ac:dyDescent="0.25"/>
    <row r="4" spans="1:9" x14ac:dyDescent="0.25">
      <c r="A4" s="32"/>
      <c r="B4" s="32" t="s">
        <v>98</v>
      </c>
      <c r="C4" s="32"/>
      <c r="D4" s="32"/>
      <c r="E4" s="32"/>
      <c r="F4" s="32"/>
      <c r="G4" s="32"/>
      <c r="H4" s="32"/>
      <c r="I4" s="32"/>
    </row>
    <row r="5" spans="1:9" x14ac:dyDescent="0.25"/>
    <row r="6" spans="1:9" x14ac:dyDescent="0.25">
      <c r="B6" s="81" t="s">
        <v>121</v>
      </c>
      <c r="E6" s="86">
        <v>0</v>
      </c>
      <c r="F6" s="86">
        <v>1</v>
      </c>
      <c r="G6" s="86">
        <v>2</v>
      </c>
      <c r="H6" s="86">
        <v>3</v>
      </c>
    </row>
    <row r="7" spans="1:9" x14ac:dyDescent="0.25">
      <c r="B7" s="81" t="s">
        <v>122</v>
      </c>
      <c r="E7" s="85">
        <v>-700</v>
      </c>
      <c r="F7" s="85">
        <v>100</v>
      </c>
      <c r="G7" s="85">
        <v>100</v>
      </c>
      <c r="H7" s="85">
        <v>100</v>
      </c>
    </row>
    <row r="8" spans="1:9" x14ac:dyDescent="0.25"/>
    <row r="9" spans="1:9" x14ac:dyDescent="0.25">
      <c r="B9" s="81" t="s">
        <v>96</v>
      </c>
      <c r="E9" s="84">
        <v>0.1</v>
      </c>
      <c r="F9" s="82"/>
    </row>
    <row r="10" spans="1:9" ht="15.75" thickBot="1" x14ac:dyDescent="0.3"/>
    <row r="11" spans="1:9" ht="15.75" thickBot="1" x14ac:dyDescent="0.3">
      <c r="B11" s="87" t="s">
        <v>97</v>
      </c>
      <c r="C11" s="88"/>
      <c r="D11" s="88"/>
      <c r="E11" s="89">
        <f>NPV(E9,E7:H7)</f>
        <v>-410.28618263779794</v>
      </c>
      <c r="F11" s="83"/>
      <c r="G11" s="83"/>
      <c r="H11" s="83"/>
    </row>
    <row r="12" spans="1:9" x14ac:dyDescent="0.25">
      <c r="E12" s="83"/>
      <c r="F12" s="83"/>
      <c r="G12" s="83"/>
      <c r="H12" s="83"/>
    </row>
    <row r="13" spans="1:9" x14ac:dyDescent="0.25">
      <c r="E13" s="83"/>
      <c r="F13" s="83"/>
      <c r="G13" s="83"/>
      <c r="H13" s="83"/>
    </row>
    <row r="14" spans="1:9" x14ac:dyDescent="0.25">
      <c r="B14" s="81" t="s">
        <v>123</v>
      </c>
      <c r="E14" s="85">
        <f>E7/(1+E9)^E6</f>
        <v>-700</v>
      </c>
      <c r="F14" s="85">
        <f>F7/(1+E9)^F6</f>
        <v>90.909090909090907</v>
      </c>
      <c r="G14" s="85">
        <f>G7/(1+E9)^G6</f>
        <v>82.644628099173545</v>
      </c>
      <c r="H14" s="85">
        <f>H7/(1+E9)^H6</f>
        <v>75.131480090157751</v>
      </c>
    </row>
    <row r="15" spans="1:9" ht="15.75" thickBot="1" x14ac:dyDescent="0.3">
      <c r="E15" s="83"/>
      <c r="F15" s="83"/>
      <c r="G15" s="83"/>
      <c r="H15" s="83"/>
    </row>
    <row r="16" spans="1:9" ht="15.75" thickBot="1" x14ac:dyDescent="0.3">
      <c r="B16" s="87" t="s">
        <v>124</v>
      </c>
      <c r="C16" s="88"/>
      <c r="D16" s="88"/>
      <c r="E16" s="89">
        <f>SUM(E14:H14)</f>
        <v>-451.31480090157777</v>
      </c>
      <c r="F16" s="83"/>
      <c r="G16" s="83"/>
      <c r="H16" s="83"/>
    </row>
    <row r="17" spans="1:10" x14ac:dyDescent="0.25"/>
    <row r="18" spans="1:10" x14ac:dyDescent="0.25">
      <c r="A18" s="90"/>
      <c r="B18" s="90" t="s">
        <v>16</v>
      </c>
      <c r="C18" s="90"/>
      <c r="D18" s="90"/>
      <c r="E18" s="90"/>
      <c r="F18" s="90"/>
      <c r="G18" s="90"/>
      <c r="H18" s="90"/>
      <c r="I18" s="91"/>
      <c r="J18" s="90"/>
    </row>
    <row r="19" spans="1:10" x14ac:dyDescent="0.25"/>
  </sheetData>
  <pageMargins left="0.75" right="0.75" top="1" bottom="1" header="0.5" footer="0.5"/>
  <pageSetup paperSize="9" orientation="portrait" r:id="rId1"/>
  <headerFooter alignWithMargins="0">
    <oddHeader>&amp;LPractical Financial Modelling
CIMA Publishing/Reed-Elsevier&amp;R&amp;9Jonathan Swan
jswan@operis.com</oddHeader>
    <oddFooter>&amp;L&amp;8Printed at &amp;T on &amp;D&amp;C&amp;8&amp;A&amp;R&amp;F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I20"/>
  <sheetViews>
    <sheetView showGridLines="0" zoomScale="90" zoomScaleNormal="90" workbookViewId="0">
      <selection activeCell="J20" sqref="J20"/>
    </sheetView>
  </sheetViews>
  <sheetFormatPr defaultColWidth="0" defaultRowHeight="15" customHeight="1" zeroHeight="1" x14ac:dyDescent="0.25"/>
  <cols>
    <col min="1" max="1" width="3.42578125" style="81" customWidth="1"/>
    <col min="2" max="2" width="18.7109375" style="81" customWidth="1"/>
    <col min="3" max="3" width="22.42578125" style="81" customWidth="1"/>
    <col min="4" max="8" width="9.140625" style="81" customWidth="1"/>
    <col min="9" max="9" width="3.7109375" style="82" customWidth="1"/>
    <col min="10" max="10" width="4" style="81" customWidth="1"/>
    <col min="11" max="255" width="9.140625" style="81" hidden="1"/>
    <col min="256" max="256" width="2.85546875" style="81" hidden="1"/>
    <col min="257" max="257" width="22.42578125" style="81" hidden="1"/>
    <col min="258" max="511" width="9.140625" style="81" hidden="1"/>
    <col min="512" max="512" width="2.85546875" style="81" hidden="1"/>
    <col min="513" max="513" width="22.42578125" style="81" hidden="1"/>
    <col min="514" max="767" width="9.140625" style="81" hidden="1"/>
    <col min="768" max="768" width="2.85546875" style="81" hidden="1"/>
    <col min="769" max="769" width="22.42578125" style="81" hidden="1"/>
    <col min="770" max="1023" width="9.140625" style="81" hidden="1"/>
    <col min="1024" max="1024" width="2.85546875" style="81" hidden="1"/>
    <col min="1025" max="1025" width="22.42578125" style="81" hidden="1"/>
    <col min="1026" max="1279" width="9.140625" style="81" hidden="1"/>
    <col min="1280" max="1280" width="2.85546875" style="81" hidden="1"/>
    <col min="1281" max="1281" width="22.42578125" style="81" hidden="1"/>
    <col min="1282" max="1535" width="9.140625" style="81" hidden="1"/>
    <col min="1536" max="1536" width="2.85546875" style="81" hidden="1"/>
    <col min="1537" max="1537" width="22.42578125" style="81" hidden="1"/>
    <col min="1538" max="1791" width="9.140625" style="81" hidden="1"/>
    <col min="1792" max="1792" width="2.85546875" style="81" hidden="1"/>
    <col min="1793" max="1793" width="22.42578125" style="81" hidden="1"/>
    <col min="1794" max="2047" width="9.140625" style="81" hidden="1"/>
    <col min="2048" max="2048" width="2.85546875" style="81" hidden="1"/>
    <col min="2049" max="2049" width="22.42578125" style="81" hidden="1"/>
    <col min="2050" max="2303" width="9.140625" style="81" hidden="1"/>
    <col min="2304" max="2304" width="2.85546875" style="81" hidden="1"/>
    <col min="2305" max="2305" width="22.42578125" style="81" hidden="1"/>
    <col min="2306" max="2559" width="9.140625" style="81" hidden="1"/>
    <col min="2560" max="2560" width="2.85546875" style="81" hidden="1"/>
    <col min="2561" max="2561" width="22.42578125" style="81" hidden="1"/>
    <col min="2562" max="2815" width="9.140625" style="81" hidden="1"/>
    <col min="2816" max="2816" width="2.85546875" style="81" hidden="1"/>
    <col min="2817" max="2817" width="22.42578125" style="81" hidden="1"/>
    <col min="2818" max="3071" width="9.140625" style="81" hidden="1"/>
    <col min="3072" max="3072" width="2.85546875" style="81" hidden="1"/>
    <col min="3073" max="3073" width="22.42578125" style="81" hidden="1"/>
    <col min="3074" max="3327" width="9.140625" style="81" hidden="1"/>
    <col min="3328" max="3328" width="2.85546875" style="81" hidden="1"/>
    <col min="3329" max="3329" width="22.42578125" style="81" hidden="1"/>
    <col min="3330" max="3583" width="9.140625" style="81" hidden="1"/>
    <col min="3584" max="3584" width="2.85546875" style="81" hidden="1"/>
    <col min="3585" max="3585" width="22.42578125" style="81" hidden="1"/>
    <col min="3586" max="3839" width="9.140625" style="81" hidden="1"/>
    <col min="3840" max="3840" width="2.85546875" style="81" hidden="1"/>
    <col min="3841" max="3841" width="22.42578125" style="81" hidden="1"/>
    <col min="3842" max="4095" width="9.140625" style="81" hidden="1"/>
    <col min="4096" max="4096" width="2.85546875" style="81" hidden="1"/>
    <col min="4097" max="4097" width="22.42578125" style="81" hidden="1"/>
    <col min="4098" max="4351" width="9.140625" style="81" hidden="1"/>
    <col min="4352" max="4352" width="2.85546875" style="81" hidden="1"/>
    <col min="4353" max="4353" width="22.42578125" style="81" hidden="1"/>
    <col min="4354" max="4607" width="9.140625" style="81" hidden="1"/>
    <col min="4608" max="4608" width="2.85546875" style="81" hidden="1"/>
    <col min="4609" max="4609" width="22.42578125" style="81" hidden="1"/>
    <col min="4610" max="4863" width="9.140625" style="81" hidden="1"/>
    <col min="4864" max="4864" width="2.85546875" style="81" hidden="1"/>
    <col min="4865" max="4865" width="22.42578125" style="81" hidden="1"/>
    <col min="4866" max="5119" width="9.140625" style="81" hidden="1"/>
    <col min="5120" max="5120" width="2.85546875" style="81" hidden="1"/>
    <col min="5121" max="5121" width="22.42578125" style="81" hidden="1"/>
    <col min="5122" max="5375" width="9.140625" style="81" hidden="1"/>
    <col min="5376" max="5376" width="2.85546875" style="81" hidden="1"/>
    <col min="5377" max="5377" width="22.42578125" style="81" hidden="1"/>
    <col min="5378" max="5631" width="9.140625" style="81" hidden="1"/>
    <col min="5632" max="5632" width="2.85546875" style="81" hidden="1"/>
    <col min="5633" max="5633" width="22.42578125" style="81" hidden="1"/>
    <col min="5634" max="5887" width="9.140625" style="81" hidden="1"/>
    <col min="5888" max="5888" width="2.85546875" style="81" hidden="1"/>
    <col min="5889" max="5889" width="22.42578125" style="81" hidden="1"/>
    <col min="5890" max="6143" width="9.140625" style="81" hidden="1"/>
    <col min="6144" max="6144" width="2.85546875" style="81" hidden="1"/>
    <col min="6145" max="6145" width="22.42578125" style="81" hidden="1"/>
    <col min="6146" max="6399" width="9.140625" style="81" hidden="1"/>
    <col min="6400" max="6400" width="2.85546875" style="81" hidden="1"/>
    <col min="6401" max="6401" width="22.42578125" style="81" hidden="1"/>
    <col min="6402" max="6655" width="9.140625" style="81" hidden="1"/>
    <col min="6656" max="6656" width="2.85546875" style="81" hidden="1"/>
    <col min="6657" max="6657" width="22.42578125" style="81" hidden="1"/>
    <col min="6658" max="6911" width="9.140625" style="81" hidden="1"/>
    <col min="6912" max="6912" width="2.85546875" style="81" hidden="1"/>
    <col min="6913" max="6913" width="22.42578125" style="81" hidden="1"/>
    <col min="6914" max="7167" width="9.140625" style="81" hidden="1"/>
    <col min="7168" max="7168" width="2.85546875" style="81" hidden="1"/>
    <col min="7169" max="7169" width="22.42578125" style="81" hidden="1"/>
    <col min="7170" max="7423" width="9.140625" style="81" hidden="1"/>
    <col min="7424" max="7424" width="2.85546875" style="81" hidden="1"/>
    <col min="7425" max="7425" width="22.42578125" style="81" hidden="1"/>
    <col min="7426" max="7679" width="9.140625" style="81" hidden="1"/>
    <col min="7680" max="7680" width="2.85546875" style="81" hidden="1"/>
    <col min="7681" max="7681" width="22.42578125" style="81" hidden="1"/>
    <col min="7682" max="7935" width="9.140625" style="81" hidden="1"/>
    <col min="7936" max="7936" width="2.85546875" style="81" hidden="1"/>
    <col min="7937" max="7937" width="22.42578125" style="81" hidden="1"/>
    <col min="7938" max="8191" width="9.140625" style="81" hidden="1"/>
    <col min="8192" max="8192" width="2.85546875" style="81" hidden="1"/>
    <col min="8193" max="8193" width="22.42578125" style="81" hidden="1"/>
    <col min="8194" max="8447" width="9.140625" style="81" hidden="1"/>
    <col min="8448" max="8448" width="2.85546875" style="81" hidden="1"/>
    <col min="8449" max="8449" width="22.42578125" style="81" hidden="1"/>
    <col min="8450" max="8703" width="9.140625" style="81" hidden="1"/>
    <col min="8704" max="8704" width="2.85546875" style="81" hidden="1"/>
    <col min="8705" max="8705" width="22.42578125" style="81" hidden="1"/>
    <col min="8706" max="8959" width="9.140625" style="81" hidden="1"/>
    <col min="8960" max="8960" width="2.85546875" style="81" hidden="1"/>
    <col min="8961" max="8961" width="22.42578125" style="81" hidden="1"/>
    <col min="8962" max="9215" width="9.140625" style="81" hidden="1"/>
    <col min="9216" max="9216" width="2.85546875" style="81" hidden="1"/>
    <col min="9217" max="9217" width="22.42578125" style="81" hidden="1"/>
    <col min="9218" max="9471" width="9.140625" style="81" hidden="1"/>
    <col min="9472" max="9472" width="2.85546875" style="81" hidden="1"/>
    <col min="9473" max="9473" width="22.42578125" style="81" hidden="1"/>
    <col min="9474" max="9727" width="9.140625" style="81" hidden="1"/>
    <col min="9728" max="9728" width="2.85546875" style="81" hidden="1"/>
    <col min="9729" max="9729" width="22.42578125" style="81" hidden="1"/>
    <col min="9730" max="9983" width="9.140625" style="81" hidden="1"/>
    <col min="9984" max="9984" width="2.85546875" style="81" hidden="1"/>
    <col min="9985" max="9985" width="22.42578125" style="81" hidden="1"/>
    <col min="9986" max="10239" width="9.140625" style="81" hidden="1"/>
    <col min="10240" max="10240" width="2.85546875" style="81" hidden="1"/>
    <col min="10241" max="10241" width="22.42578125" style="81" hidden="1"/>
    <col min="10242" max="10495" width="9.140625" style="81" hidden="1"/>
    <col min="10496" max="10496" width="2.85546875" style="81" hidden="1"/>
    <col min="10497" max="10497" width="22.42578125" style="81" hidden="1"/>
    <col min="10498" max="10751" width="9.140625" style="81" hidden="1"/>
    <col min="10752" max="10752" width="2.85546875" style="81" hidden="1"/>
    <col min="10753" max="10753" width="22.42578125" style="81" hidden="1"/>
    <col min="10754" max="11007" width="9.140625" style="81" hidden="1"/>
    <col min="11008" max="11008" width="2.85546875" style="81" hidden="1"/>
    <col min="11009" max="11009" width="22.42578125" style="81" hidden="1"/>
    <col min="11010" max="11263" width="9.140625" style="81" hidden="1"/>
    <col min="11264" max="11264" width="2.85546875" style="81" hidden="1"/>
    <col min="11265" max="11265" width="22.42578125" style="81" hidden="1"/>
    <col min="11266" max="11519" width="9.140625" style="81" hidden="1"/>
    <col min="11520" max="11520" width="2.85546875" style="81" hidden="1"/>
    <col min="11521" max="11521" width="22.42578125" style="81" hidden="1"/>
    <col min="11522" max="11775" width="9.140625" style="81" hidden="1"/>
    <col min="11776" max="11776" width="2.85546875" style="81" hidden="1"/>
    <col min="11777" max="11777" width="22.42578125" style="81" hidden="1"/>
    <col min="11778" max="12031" width="9.140625" style="81" hidden="1"/>
    <col min="12032" max="12032" width="2.85546875" style="81" hidden="1"/>
    <col min="12033" max="12033" width="22.42578125" style="81" hidden="1"/>
    <col min="12034" max="12287" width="9.140625" style="81" hidden="1"/>
    <col min="12288" max="12288" width="2.85546875" style="81" hidden="1"/>
    <col min="12289" max="12289" width="22.42578125" style="81" hidden="1"/>
    <col min="12290" max="12543" width="9.140625" style="81" hidden="1"/>
    <col min="12544" max="12544" width="2.85546875" style="81" hidden="1"/>
    <col min="12545" max="12545" width="22.42578125" style="81" hidden="1"/>
    <col min="12546" max="12799" width="9.140625" style="81" hidden="1"/>
    <col min="12800" max="12800" width="2.85546875" style="81" hidden="1"/>
    <col min="12801" max="12801" width="22.42578125" style="81" hidden="1"/>
    <col min="12802" max="13055" width="9.140625" style="81" hidden="1"/>
    <col min="13056" max="13056" width="2.85546875" style="81" hidden="1"/>
    <col min="13057" max="13057" width="22.42578125" style="81" hidden="1"/>
    <col min="13058" max="13311" width="9.140625" style="81" hidden="1"/>
    <col min="13312" max="13312" width="2.85546875" style="81" hidden="1"/>
    <col min="13313" max="13313" width="22.42578125" style="81" hidden="1"/>
    <col min="13314" max="13567" width="9.140625" style="81" hidden="1"/>
    <col min="13568" max="13568" width="2.85546875" style="81" hidden="1"/>
    <col min="13569" max="13569" width="22.42578125" style="81" hidden="1"/>
    <col min="13570" max="13823" width="9.140625" style="81" hidden="1"/>
    <col min="13824" max="13824" width="2.85546875" style="81" hidden="1"/>
    <col min="13825" max="13825" width="22.42578125" style="81" hidden="1"/>
    <col min="13826" max="14079" width="9.140625" style="81" hidden="1"/>
    <col min="14080" max="14080" width="2.85546875" style="81" hidden="1"/>
    <col min="14081" max="14081" width="22.42578125" style="81" hidden="1"/>
    <col min="14082" max="14335" width="9.140625" style="81" hidden="1"/>
    <col min="14336" max="14336" width="2.85546875" style="81" hidden="1"/>
    <col min="14337" max="14337" width="22.42578125" style="81" hidden="1"/>
    <col min="14338" max="14591" width="9.140625" style="81" hidden="1"/>
    <col min="14592" max="14592" width="2.85546875" style="81" hidden="1"/>
    <col min="14593" max="14593" width="22.42578125" style="81" hidden="1"/>
    <col min="14594" max="14847" width="9.140625" style="81" hidden="1"/>
    <col min="14848" max="14848" width="2.85546875" style="81" hidden="1"/>
    <col min="14849" max="14849" width="22.42578125" style="81" hidden="1"/>
    <col min="14850" max="15103" width="9.140625" style="81" hidden="1"/>
    <col min="15104" max="15104" width="2.85546875" style="81" hidden="1"/>
    <col min="15105" max="15105" width="22.42578125" style="81" hidden="1"/>
    <col min="15106" max="15359" width="9.140625" style="81" hidden="1"/>
    <col min="15360" max="15360" width="2.85546875" style="81" hidden="1"/>
    <col min="15361" max="15361" width="22.42578125" style="81" hidden="1"/>
    <col min="15362" max="15615" width="9.140625" style="81" hidden="1"/>
    <col min="15616" max="15616" width="2.85546875" style="81" hidden="1"/>
    <col min="15617" max="15617" width="22.42578125" style="81" hidden="1"/>
    <col min="15618" max="15871" width="9.140625" style="81" hidden="1"/>
    <col min="15872" max="15872" width="2.85546875" style="81" hidden="1"/>
    <col min="15873" max="15873" width="22.42578125" style="81" hidden="1"/>
    <col min="15874" max="16127" width="9.140625" style="81" hidden="1"/>
    <col min="16128" max="16128" width="2.85546875" style="81" hidden="1"/>
    <col min="16129" max="16129" width="22.42578125" style="81" hidden="1"/>
    <col min="16130" max="16384" width="9.140625" style="81" hidden="1"/>
  </cols>
  <sheetData>
    <row r="1" spans="1:9" x14ac:dyDescent="0.25">
      <c r="A1" s="61" t="s">
        <v>2</v>
      </c>
      <c r="B1" s="61"/>
      <c r="C1" s="61"/>
      <c r="D1" s="61"/>
      <c r="E1" s="61"/>
      <c r="F1" s="61"/>
      <c r="G1" s="61"/>
      <c r="H1" s="61"/>
      <c r="I1" s="61"/>
    </row>
    <row r="2" spans="1:9" x14ac:dyDescent="0.25">
      <c r="A2" s="62" t="s">
        <v>18</v>
      </c>
      <c r="C2" s="59"/>
      <c r="D2" s="59"/>
      <c r="E2" s="59"/>
      <c r="F2" s="59"/>
      <c r="G2" s="59"/>
    </row>
    <row r="3" spans="1:9" x14ac:dyDescent="0.25"/>
    <row r="4" spans="1:9" x14ac:dyDescent="0.25">
      <c r="A4" s="32"/>
      <c r="B4" s="32" t="s">
        <v>98</v>
      </c>
      <c r="C4" s="32"/>
      <c r="D4" s="32"/>
      <c r="E4" s="32"/>
      <c r="F4" s="32"/>
      <c r="G4" s="32"/>
      <c r="H4" s="32"/>
      <c r="I4" s="32"/>
    </row>
    <row r="5" spans="1:9" x14ac:dyDescent="0.25"/>
    <row r="6" spans="1:9" x14ac:dyDescent="0.25">
      <c r="B6" s="81" t="s">
        <v>121</v>
      </c>
      <c r="E6" s="86">
        <v>0</v>
      </c>
      <c r="F6" s="86">
        <v>1</v>
      </c>
      <c r="G6" s="86">
        <v>2</v>
      </c>
      <c r="H6" s="86">
        <v>3</v>
      </c>
    </row>
    <row r="7" spans="1:9" x14ac:dyDescent="0.25">
      <c r="B7" s="81" t="s">
        <v>122</v>
      </c>
      <c r="E7" s="85">
        <v>-700</v>
      </c>
      <c r="F7" s="85">
        <v>100</v>
      </c>
      <c r="G7" s="85">
        <v>100</v>
      </c>
      <c r="H7" s="85">
        <v>100</v>
      </c>
    </row>
    <row r="8" spans="1:9" x14ac:dyDescent="0.25"/>
    <row r="9" spans="1:9" x14ac:dyDescent="0.25">
      <c r="B9" s="81" t="s">
        <v>96</v>
      </c>
      <c r="E9" s="84">
        <v>0.1</v>
      </c>
      <c r="F9" s="82"/>
    </row>
    <row r="10" spans="1:9" ht="15.75" thickBot="1" x14ac:dyDescent="0.3"/>
    <row r="11" spans="1:9" ht="15.75" thickBot="1" x14ac:dyDescent="0.3">
      <c r="B11" s="87" t="s">
        <v>97</v>
      </c>
      <c r="C11" s="88"/>
      <c r="D11" s="88"/>
      <c r="E11" s="89">
        <f>NPV(E9,F7:H7)+E7</f>
        <v>-451.31480090157777</v>
      </c>
      <c r="F11" s="83"/>
      <c r="G11" s="83"/>
      <c r="H11" s="83"/>
    </row>
    <row r="12" spans="1:9" x14ac:dyDescent="0.25">
      <c r="E12" s="83"/>
      <c r="F12" s="83"/>
      <c r="G12" s="83"/>
      <c r="H12" s="83"/>
    </row>
    <row r="13" spans="1:9" x14ac:dyDescent="0.25">
      <c r="E13" s="83"/>
      <c r="F13" s="83"/>
      <c r="G13" s="83"/>
      <c r="H13" s="83"/>
    </row>
    <row r="14" spans="1:9" x14ac:dyDescent="0.25">
      <c r="B14" s="81" t="s">
        <v>123</v>
      </c>
      <c r="E14" s="85">
        <f>E7/(1+E9)^E6:H6</f>
        <v>-700</v>
      </c>
      <c r="F14" s="85">
        <f>F7/(1+E9)^F6</f>
        <v>90.909090909090907</v>
      </c>
      <c r="G14" s="85">
        <f>G7/(1+E9)^G6</f>
        <v>82.644628099173545</v>
      </c>
      <c r="H14" s="85">
        <f>H7/(1+E9)^H6</f>
        <v>75.131480090157751</v>
      </c>
    </row>
    <row r="15" spans="1:9" ht="15.75" thickBot="1" x14ac:dyDescent="0.3">
      <c r="E15" s="83"/>
      <c r="F15" s="83"/>
      <c r="G15" s="83"/>
      <c r="H15" s="83"/>
    </row>
    <row r="16" spans="1:9" ht="15.75" thickBot="1" x14ac:dyDescent="0.3">
      <c r="B16" s="87" t="s">
        <v>124</v>
      </c>
      <c r="C16" s="88"/>
      <c r="D16" s="88"/>
      <c r="E16" s="89">
        <f>SUM(E14:H14)</f>
        <v>-451.31480090157777</v>
      </c>
      <c r="F16" s="83"/>
      <c r="G16" s="83"/>
      <c r="H16" s="83"/>
    </row>
    <row r="17" spans="1:10" x14ac:dyDescent="0.25"/>
    <row r="18" spans="1:10" x14ac:dyDescent="0.25">
      <c r="A18" s="90"/>
      <c r="B18" s="90" t="s">
        <v>16</v>
      </c>
      <c r="C18" s="90"/>
      <c r="D18" s="90"/>
      <c r="E18" s="90"/>
      <c r="F18" s="90"/>
      <c r="G18" s="90"/>
      <c r="H18" s="90"/>
      <c r="I18" s="91"/>
      <c r="J18" s="90"/>
    </row>
    <row r="19" spans="1:10" customFormat="1" x14ac:dyDescent="0.25"/>
    <row r="20" spans="1:10" x14ac:dyDescent="0.25"/>
  </sheetData>
  <pageMargins left="0.75" right="0.75" top="1" bottom="1" header="0.5" footer="0.5"/>
  <pageSetup paperSize="9" orientation="portrait" r:id="rId1"/>
  <headerFooter alignWithMargins="0">
    <oddHeader>&amp;LPractical Financial Modelling
CIMA Publishing/Reed-Elsevier&amp;R&amp;9Jonathan Swan
jswan@operis.com</oddHeader>
    <oddFooter>&amp;L&amp;8Printed at &amp;T on &amp;D&amp;C&amp;8&amp;A&amp;R&amp;F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9"/>
  <sheetViews>
    <sheetView showGridLines="0" topLeftCell="A2" zoomScale="80" zoomScaleNormal="80" workbookViewId="0">
      <selection activeCell="C7" sqref="C7"/>
    </sheetView>
  </sheetViews>
  <sheetFormatPr defaultRowHeight="15" x14ac:dyDescent="0.25"/>
  <cols>
    <col min="1" max="1" width="15.5703125" style="59" customWidth="1"/>
    <col min="2" max="2" width="9.140625" style="59"/>
    <col min="3" max="5" width="9.28515625" style="59" customWidth="1"/>
    <col min="6" max="6" width="9.140625" style="59"/>
    <col min="7" max="8" width="9.28515625" style="59" customWidth="1"/>
    <col min="9" max="9" width="9.140625" style="59"/>
    <col min="10" max="10" width="9.28515625" style="59" customWidth="1"/>
    <col min="11" max="16384" width="9.140625" style="59"/>
  </cols>
  <sheetData>
    <row r="2" spans="1:16" ht="15.75" x14ac:dyDescent="0.25">
      <c r="A2" s="92" t="s">
        <v>105</v>
      </c>
    </row>
    <row r="3" spans="1:16" x14ac:dyDescent="0.25">
      <c r="A3" s="93"/>
      <c r="B3" s="105">
        <v>2008</v>
      </c>
      <c r="C3" s="105">
        <f t="shared" ref="C3:D3" si="0">B3+1</f>
        <v>2009</v>
      </c>
      <c r="D3" s="105">
        <f t="shared" si="0"/>
        <v>2010</v>
      </c>
      <c r="E3"/>
      <c r="F3"/>
      <c r="G3"/>
      <c r="H3"/>
    </row>
    <row r="4" spans="1:16" x14ac:dyDescent="0.25">
      <c r="A4" s="102" t="s">
        <v>108</v>
      </c>
      <c r="B4" s="103">
        <v>3.36</v>
      </c>
      <c r="C4" s="104">
        <v>3.37</v>
      </c>
      <c r="D4" s="104">
        <v>3.84</v>
      </c>
      <c r="E4"/>
      <c r="F4"/>
      <c r="G4"/>
      <c r="H4"/>
      <c r="J4" s="95"/>
      <c r="K4" s="96"/>
      <c r="L4" s="96"/>
      <c r="M4" s="96"/>
      <c r="N4" s="96"/>
      <c r="O4" s="96"/>
      <c r="P4" s="96"/>
    </row>
    <row r="5" spans="1:16" x14ac:dyDescent="0.25">
      <c r="A5" s="102" t="s">
        <v>102</v>
      </c>
      <c r="B5" s="103">
        <v>4.7300000000000004</v>
      </c>
      <c r="C5" s="104">
        <v>4.0199999999999996</v>
      </c>
      <c r="D5" s="104">
        <v>4.91</v>
      </c>
      <c r="E5"/>
      <c r="F5"/>
      <c r="G5"/>
      <c r="H5"/>
      <c r="J5" s="95"/>
      <c r="K5" s="96"/>
      <c r="L5" s="96"/>
      <c r="M5" s="96"/>
      <c r="N5" s="96"/>
      <c r="O5" s="96"/>
      <c r="P5" s="96"/>
    </row>
    <row r="6" spans="1:16" x14ac:dyDescent="0.25">
      <c r="A6" s="102" t="s">
        <v>107</v>
      </c>
      <c r="B6" s="103">
        <v>4.57</v>
      </c>
      <c r="C6" s="104">
        <v>3.69</v>
      </c>
      <c r="D6" s="104">
        <v>3.48</v>
      </c>
      <c r="E6"/>
      <c r="F6"/>
      <c r="G6"/>
      <c r="H6"/>
      <c r="J6" s="97"/>
      <c r="K6" s="96"/>
      <c r="L6" s="96"/>
      <c r="M6" s="96"/>
      <c r="N6" s="96"/>
      <c r="O6" s="96"/>
      <c r="P6" s="96"/>
    </row>
    <row r="7" spans="1:16" x14ac:dyDescent="0.25">
      <c r="A7" s="102" t="s">
        <v>109</v>
      </c>
      <c r="B7" s="103">
        <v>4.08</v>
      </c>
      <c r="C7" s="104">
        <v>3.35</v>
      </c>
      <c r="D7" s="104">
        <v>4</v>
      </c>
      <c r="E7"/>
      <c r="F7"/>
      <c r="G7"/>
      <c r="H7"/>
      <c r="J7" s="97"/>
      <c r="K7" s="96"/>
      <c r="L7" s="96"/>
      <c r="M7" s="96"/>
      <c r="N7" s="96"/>
      <c r="O7" s="96"/>
      <c r="P7" s="96"/>
    </row>
    <row r="8" spans="1:16" x14ac:dyDescent="0.25">
      <c r="A8" s="102" t="s">
        <v>104</v>
      </c>
      <c r="B8" s="103">
        <v>1.83</v>
      </c>
      <c r="C8" s="104">
        <v>1.83</v>
      </c>
      <c r="D8" s="104">
        <v>1.95</v>
      </c>
      <c r="E8"/>
      <c r="F8"/>
      <c r="G8"/>
      <c r="H8"/>
      <c r="J8" s="97"/>
      <c r="K8" s="96"/>
      <c r="L8" s="96"/>
      <c r="M8" s="96"/>
      <c r="N8" s="96"/>
      <c r="O8" s="96"/>
      <c r="P8" s="96"/>
    </row>
    <row r="9" spans="1:16" x14ac:dyDescent="0.25">
      <c r="A9" s="102" t="s">
        <v>101</v>
      </c>
      <c r="B9" s="103">
        <v>1.71</v>
      </c>
      <c r="C9" s="104">
        <v>1.72</v>
      </c>
      <c r="D9" s="104">
        <v>1.9</v>
      </c>
      <c r="E9"/>
      <c r="F9"/>
      <c r="G9"/>
      <c r="H9"/>
      <c r="J9" s="97"/>
      <c r="K9" s="96"/>
      <c r="L9" s="96"/>
      <c r="M9" s="96"/>
      <c r="N9" s="96"/>
      <c r="O9" s="96"/>
      <c r="P9" s="96"/>
    </row>
    <row r="10" spans="1:16" x14ac:dyDescent="0.25">
      <c r="A10" s="102" t="s">
        <v>110</v>
      </c>
      <c r="B10" s="103">
        <v>7.88</v>
      </c>
      <c r="C10" s="104">
        <v>6.15</v>
      </c>
      <c r="D10" s="104">
        <v>7.2</v>
      </c>
      <c r="E10"/>
      <c r="F10"/>
      <c r="G10"/>
      <c r="H10"/>
      <c r="J10" s="97"/>
      <c r="K10" s="96"/>
      <c r="L10" s="96"/>
      <c r="M10" s="96"/>
      <c r="N10" s="96"/>
      <c r="O10" s="96"/>
      <c r="P10" s="96"/>
    </row>
    <row r="11" spans="1:16" x14ac:dyDescent="0.25">
      <c r="A11" s="102" t="s">
        <v>103</v>
      </c>
      <c r="B11" s="103">
        <v>2.54</v>
      </c>
      <c r="C11" s="104">
        <v>2.04</v>
      </c>
      <c r="D11" s="104">
        <v>2.33</v>
      </c>
      <c r="E11"/>
      <c r="F11"/>
      <c r="G11"/>
      <c r="H11"/>
      <c r="J11" s="97"/>
      <c r="K11" s="96"/>
      <c r="L11" s="96"/>
      <c r="M11" s="96"/>
      <c r="N11" s="96"/>
      <c r="O11" s="96"/>
      <c r="P11" s="96"/>
    </row>
    <row r="12" spans="1:16" x14ac:dyDescent="0.25">
      <c r="A12" s="102" t="s">
        <v>111</v>
      </c>
      <c r="B12" s="103">
        <v>2.2400000000000002</v>
      </c>
      <c r="C12" s="104">
        <v>2.17</v>
      </c>
      <c r="D12" s="104">
        <v>2.4500000000000002</v>
      </c>
      <c r="E12"/>
      <c r="F12"/>
      <c r="G12"/>
      <c r="H12"/>
      <c r="J12" s="97"/>
      <c r="K12" s="96"/>
      <c r="L12" s="96"/>
      <c r="M12" s="96"/>
      <c r="N12" s="96"/>
      <c r="O12" s="96"/>
      <c r="P12" s="96"/>
    </row>
    <row r="13" spans="1:16" x14ac:dyDescent="0.25">
      <c r="A13" s="102" t="s">
        <v>106</v>
      </c>
      <c r="B13" s="103">
        <v>3.57</v>
      </c>
      <c r="C13" s="104">
        <v>3.57</v>
      </c>
      <c r="D13" s="104">
        <v>3.73</v>
      </c>
      <c r="E13"/>
      <c r="F13"/>
      <c r="G13"/>
      <c r="H13"/>
      <c r="J13" s="97"/>
      <c r="K13" s="96"/>
      <c r="L13" s="96"/>
      <c r="M13" s="96"/>
      <c r="N13" s="96"/>
      <c r="O13" s="96"/>
      <c r="P13" s="96"/>
    </row>
    <row r="14" spans="1:16" x14ac:dyDescent="0.25">
      <c r="A14" s="98"/>
    </row>
    <row r="15" spans="1:16" ht="15.75" x14ac:dyDescent="0.25">
      <c r="A15" s="92" t="s">
        <v>99</v>
      </c>
    </row>
    <row r="16" spans="1:16" x14ac:dyDescent="0.25">
      <c r="A16" s="99"/>
      <c r="B16" s="105">
        <v>2008</v>
      </c>
      <c r="C16" s="105">
        <f t="shared" ref="C16:D16" si="1">B16+1</f>
        <v>2009</v>
      </c>
      <c r="D16" s="105">
        <f t="shared" si="1"/>
        <v>2010</v>
      </c>
      <c r="E16"/>
      <c r="F16"/>
      <c r="G16"/>
      <c r="H16"/>
      <c r="I16"/>
    </row>
    <row r="17" spans="1:11" x14ac:dyDescent="0.25">
      <c r="A17" s="102" t="s">
        <v>108</v>
      </c>
      <c r="B17" s="100"/>
      <c r="C17" s="106">
        <f t="shared" ref="C17:D26" si="2">(C4-B4)/C4</f>
        <v>2.9673590504451725E-3</v>
      </c>
      <c r="D17" s="106">
        <f t="shared" si="2"/>
        <v>0.12239583333333327</v>
      </c>
      <c r="E17"/>
      <c r="F17"/>
      <c r="G17"/>
      <c r="H17"/>
      <c r="I17"/>
      <c r="K17" s="101"/>
    </row>
    <row r="18" spans="1:11" x14ac:dyDescent="0.25">
      <c r="A18" s="102" t="s">
        <v>102</v>
      </c>
      <c r="B18" s="93"/>
      <c r="C18" s="106">
        <f t="shared" si="2"/>
        <v>-0.1766169154228858</v>
      </c>
      <c r="D18" s="106">
        <f t="shared" si="2"/>
        <v>0.18126272912423635</v>
      </c>
      <c r="E18"/>
      <c r="F18"/>
      <c r="G18"/>
      <c r="H18"/>
      <c r="I18"/>
    </row>
    <row r="19" spans="1:11" x14ac:dyDescent="0.25">
      <c r="A19" s="102" t="s">
        <v>107</v>
      </c>
      <c r="B19" s="93"/>
      <c r="C19" s="106">
        <f t="shared" si="2"/>
        <v>-0.23848238482384834</v>
      </c>
      <c r="D19" s="106">
        <f t="shared" si="2"/>
        <v>-6.0344827586206885E-2</v>
      </c>
      <c r="E19"/>
      <c r="F19"/>
      <c r="G19"/>
      <c r="H19"/>
      <c r="I19"/>
    </row>
    <row r="20" spans="1:11" x14ac:dyDescent="0.25">
      <c r="A20" s="102" t="s">
        <v>109</v>
      </c>
      <c r="B20" s="93"/>
      <c r="C20" s="106">
        <f t="shared" si="2"/>
        <v>-0.21791044776119403</v>
      </c>
      <c r="D20" s="106">
        <f t="shared" si="2"/>
        <v>0.16249999999999998</v>
      </c>
      <c r="E20"/>
      <c r="F20"/>
      <c r="G20"/>
      <c r="H20"/>
      <c r="I20"/>
    </row>
    <row r="21" spans="1:11" x14ac:dyDescent="0.25">
      <c r="A21" s="102" t="s">
        <v>104</v>
      </c>
      <c r="B21" s="93"/>
      <c r="C21" s="106">
        <f t="shared" si="2"/>
        <v>0</v>
      </c>
      <c r="D21" s="106">
        <f t="shared" si="2"/>
        <v>6.1538461538461479E-2</v>
      </c>
      <c r="E21"/>
      <c r="F21"/>
      <c r="G21"/>
      <c r="H21"/>
      <c r="I21"/>
    </row>
    <row r="22" spans="1:11" x14ac:dyDescent="0.25">
      <c r="A22" s="102" t="s">
        <v>101</v>
      </c>
      <c r="B22" s="93"/>
      <c r="C22" s="106">
        <f t="shared" si="2"/>
        <v>5.8139534883720981E-3</v>
      </c>
      <c r="D22" s="106">
        <f t="shared" si="2"/>
        <v>9.4736842105263133E-2</v>
      </c>
      <c r="E22"/>
      <c r="F22"/>
      <c r="G22"/>
      <c r="H22"/>
      <c r="I22"/>
    </row>
    <row r="23" spans="1:11" x14ac:dyDescent="0.25">
      <c r="A23" s="102" t="s">
        <v>110</v>
      </c>
      <c r="B23" s="93"/>
      <c r="C23" s="106">
        <f t="shared" si="2"/>
        <v>-0.28130081300812998</v>
      </c>
      <c r="D23" s="106">
        <f t="shared" si="2"/>
        <v>0.14583333333333331</v>
      </c>
      <c r="E23"/>
      <c r="F23"/>
      <c r="G23"/>
      <c r="H23"/>
      <c r="I23"/>
    </row>
    <row r="24" spans="1:11" x14ac:dyDescent="0.25">
      <c r="A24" s="102" t="s">
        <v>103</v>
      </c>
      <c r="B24" s="93"/>
      <c r="C24" s="106">
        <f t="shared" si="2"/>
        <v>-0.24509803921568626</v>
      </c>
      <c r="D24" s="106">
        <f t="shared" si="2"/>
        <v>0.12446351931330474</v>
      </c>
      <c r="E24"/>
      <c r="F24"/>
      <c r="G24"/>
      <c r="H24"/>
      <c r="I24"/>
    </row>
    <row r="25" spans="1:11" x14ac:dyDescent="0.25">
      <c r="A25" s="102" t="s">
        <v>111</v>
      </c>
      <c r="B25" s="93"/>
      <c r="C25" s="106">
        <f t="shared" si="2"/>
        <v>-3.2258064516129163E-2</v>
      </c>
      <c r="D25" s="106">
        <f t="shared" si="2"/>
        <v>0.11428571428571438</v>
      </c>
      <c r="E25"/>
      <c r="F25"/>
      <c r="G25"/>
      <c r="H25"/>
      <c r="I25"/>
    </row>
    <row r="26" spans="1:11" x14ac:dyDescent="0.25">
      <c r="A26" s="102" t="s">
        <v>106</v>
      </c>
      <c r="B26" s="93"/>
      <c r="C26" s="106">
        <f t="shared" si="2"/>
        <v>0</v>
      </c>
      <c r="D26" s="106">
        <f t="shared" si="2"/>
        <v>4.2895442359249365E-2</v>
      </c>
      <c r="E26"/>
      <c r="F26"/>
      <c r="G26"/>
      <c r="H26"/>
      <c r="I26"/>
    </row>
    <row r="27" spans="1:11" x14ac:dyDescent="0.25">
      <c r="A27" s="98"/>
      <c r="C27" s="101"/>
      <c r="D27" s="101"/>
      <c r="E27" s="101"/>
      <c r="F27" s="101"/>
    </row>
    <row r="28" spans="1:11" ht="15.75" x14ac:dyDescent="0.25">
      <c r="A28" s="92" t="s">
        <v>100</v>
      </c>
    </row>
    <row r="29" spans="1:11" x14ac:dyDescent="0.25">
      <c r="A29" s="99"/>
      <c r="B29" s="94">
        <v>2008</v>
      </c>
      <c r="C29" s="94">
        <f t="shared" ref="C29:D29" si="3">B29+1</f>
        <v>2009</v>
      </c>
      <c r="D29" s="94">
        <f t="shared" si="3"/>
        <v>2010</v>
      </c>
      <c r="E29"/>
      <c r="F29"/>
      <c r="G29"/>
      <c r="H29"/>
      <c r="I29"/>
      <c r="J29"/>
    </row>
    <row r="30" spans="1:11" x14ac:dyDescent="0.25">
      <c r="A30" s="102" t="s">
        <v>108</v>
      </c>
      <c r="B30" s="93">
        <v>100</v>
      </c>
      <c r="C30" s="107">
        <f t="shared" ref="C30:D39" si="4">B30*(1+C17)</f>
        <v>100.29673590504451</v>
      </c>
      <c r="D30" s="107">
        <f t="shared" si="4"/>
        <v>112.57263847675569</v>
      </c>
      <c r="E30"/>
      <c r="F30"/>
      <c r="G30"/>
      <c r="H30"/>
      <c r="I30"/>
      <c r="J30"/>
    </row>
    <row r="31" spans="1:11" x14ac:dyDescent="0.25">
      <c r="A31" s="102" t="s">
        <v>102</v>
      </c>
      <c r="B31" s="93">
        <v>100</v>
      </c>
      <c r="C31" s="107">
        <f t="shared" si="4"/>
        <v>82.33830845771142</v>
      </c>
      <c r="D31" s="107">
        <f t="shared" si="4"/>
        <v>97.263174960229378</v>
      </c>
      <c r="E31"/>
      <c r="F31"/>
      <c r="G31"/>
      <c r="H31"/>
      <c r="I31"/>
      <c r="J31"/>
    </row>
    <row r="32" spans="1:11" x14ac:dyDescent="0.25">
      <c r="A32" s="102" t="s">
        <v>107</v>
      </c>
      <c r="B32" s="93">
        <v>100</v>
      </c>
      <c r="C32" s="107">
        <f t="shared" si="4"/>
        <v>76.151761517615171</v>
      </c>
      <c r="D32" s="107">
        <f t="shared" si="4"/>
        <v>71.556396598448742</v>
      </c>
      <c r="E32"/>
      <c r="F32"/>
      <c r="G32"/>
      <c r="H32"/>
      <c r="I32"/>
      <c r="J32"/>
    </row>
    <row r="33" spans="1:10" x14ac:dyDescent="0.25">
      <c r="A33" s="102" t="s">
        <v>109</v>
      </c>
      <c r="B33" s="93">
        <v>100</v>
      </c>
      <c r="C33" s="107">
        <f t="shared" si="4"/>
        <v>78.208955223880594</v>
      </c>
      <c r="D33" s="107">
        <f t="shared" si="4"/>
        <v>90.917910447761201</v>
      </c>
      <c r="E33"/>
      <c r="F33"/>
      <c r="G33"/>
      <c r="H33"/>
      <c r="I33"/>
      <c r="J33"/>
    </row>
    <row r="34" spans="1:10" x14ac:dyDescent="0.25">
      <c r="A34" s="102" t="s">
        <v>104</v>
      </c>
      <c r="B34" s="93">
        <v>100</v>
      </c>
      <c r="C34" s="107">
        <f t="shared" si="4"/>
        <v>100</v>
      </c>
      <c r="D34" s="107">
        <f t="shared" si="4"/>
        <v>106.15384615384616</v>
      </c>
      <c r="E34"/>
      <c r="F34"/>
      <c r="G34"/>
      <c r="H34"/>
      <c r="I34"/>
      <c r="J34"/>
    </row>
    <row r="35" spans="1:10" x14ac:dyDescent="0.25">
      <c r="A35" s="102" t="s">
        <v>101</v>
      </c>
      <c r="B35" s="93">
        <v>100</v>
      </c>
      <c r="C35" s="107">
        <f t="shared" si="4"/>
        <v>100.58139534883721</v>
      </c>
      <c r="D35" s="107">
        <f t="shared" si="4"/>
        <v>110.11015911872705</v>
      </c>
      <c r="E35"/>
      <c r="F35"/>
      <c r="G35"/>
      <c r="H35"/>
      <c r="I35"/>
      <c r="J35"/>
    </row>
    <row r="36" spans="1:10" x14ac:dyDescent="0.25">
      <c r="A36" s="102" t="s">
        <v>110</v>
      </c>
      <c r="B36" s="93">
        <v>100</v>
      </c>
      <c r="C36" s="107">
        <f t="shared" si="4"/>
        <v>71.869918699186996</v>
      </c>
      <c r="D36" s="107">
        <f t="shared" si="4"/>
        <v>82.350948509485093</v>
      </c>
      <c r="E36"/>
      <c r="F36"/>
      <c r="G36"/>
      <c r="H36"/>
      <c r="I36"/>
      <c r="J36"/>
    </row>
    <row r="37" spans="1:10" x14ac:dyDescent="0.25">
      <c r="A37" s="102" t="s">
        <v>103</v>
      </c>
      <c r="B37" s="93">
        <v>100</v>
      </c>
      <c r="C37" s="107">
        <f t="shared" si="4"/>
        <v>75.490196078431367</v>
      </c>
      <c r="D37" s="107">
        <f t="shared" si="4"/>
        <v>84.885971556004378</v>
      </c>
      <c r="E37"/>
      <c r="F37"/>
      <c r="G37"/>
      <c r="H37"/>
      <c r="I37"/>
      <c r="J37"/>
    </row>
    <row r="38" spans="1:10" x14ac:dyDescent="0.25">
      <c r="A38" s="102" t="s">
        <v>111</v>
      </c>
      <c r="B38" s="93">
        <v>100</v>
      </c>
      <c r="C38" s="107">
        <f t="shared" si="4"/>
        <v>96.774193548387089</v>
      </c>
      <c r="D38" s="107">
        <f t="shared" si="4"/>
        <v>107.83410138248847</v>
      </c>
      <c r="E38"/>
      <c r="F38"/>
      <c r="G38"/>
      <c r="H38"/>
      <c r="I38"/>
      <c r="J38"/>
    </row>
    <row r="39" spans="1:10" x14ac:dyDescent="0.25">
      <c r="A39" s="102" t="s">
        <v>106</v>
      </c>
      <c r="B39" s="93">
        <v>100</v>
      </c>
      <c r="C39" s="107">
        <f t="shared" si="4"/>
        <v>100</v>
      </c>
      <c r="D39" s="107">
        <f t="shared" si="4"/>
        <v>104.28954423592494</v>
      </c>
      <c r="E39"/>
      <c r="F39"/>
      <c r="G39"/>
      <c r="H39"/>
      <c r="I39"/>
      <c r="J39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Figure 11-1</vt:lpstr>
      <vt:lpstr>Figure 11-4</vt:lpstr>
      <vt:lpstr>Figure 11-5</vt:lpstr>
      <vt:lpstr>Figure 11-6</vt:lpstr>
      <vt:lpstr>Figure 11-8</vt:lpstr>
      <vt:lpstr>Figure 11-10</vt:lpstr>
      <vt:lpstr>Figure 11-11</vt:lpstr>
      <vt:lpstr>Figure 11-12</vt:lpstr>
      <vt:lpstr>Figure 11-15</vt:lpstr>
      <vt:lpstr>Figure 11-19</vt:lpstr>
      <vt:lpstr>Figure 11-20</vt:lpstr>
      <vt:lpstr>Figure 11-22</vt:lpstr>
      <vt:lpstr>Figure 11-23</vt:lpstr>
      <vt:lpstr>Figure 11-24</vt:lpstr>
      <vt:lpstr>Figure 11-25</vt:lpstr>
      <vt:lpstr>Calc_Mask</vt:lpstr>
      <vt:lpstr>'Figure 11-20'!Criteria</vt:lpstr>
      <vt:lpstr>'Figure 11-22'!Criteria</vt:lpstr>
      <vt:lpstr>Criteria</vt:lpstr>
      <vt:lpstr>Inp_DirectCosts</vt:lpstr>
      <vt:lpstr>Inp_Expenses</vt:lpstr>
      <vt:lpstr>Inp_Income</vt:lpstr>
      <vt:lpstr>Inp_Incomes</vt:lpstr>
      <vt:lpstr>Inp_Inflation</vt:lpstr>
      <vt:lpstr>'Figure 11-10'!Input_Income</vt:lpstr>
      <vt:lpstr>Input_SalesTax</vt:lpstr>
      <vt:lpstr>Life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2013-06-27T08:02:59Z</dcterms:created>
  <dcterms:modified xsi:type="dcterms:W3CDTF">2013-10-22T08:34:48Z</dcterms:modified>
</cp:coreProperties>
</file>