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25" windowWidth="20730" windowHeight="9855" firstSheet="46" activeTab="52"/>
  </bookViews>
  <sheets>
    <sheet name="Figure 3-1" sheetId="4" r:id="rId1"/>
    <sheet name="Figure 3-2" sheetId="5" r:id="rId2"/>
    <sheet name="Figure 3-3" sheetId="6" r:id="rId3"/>
    <sheet name="Figure 3-4" sheetId="7" r:id="rId4"/>
    <sheet name="Figure 3-5" sheetId="8" r:id="rId5"/>
    <sheet name="Figure 3-6" sheetId="9" r:id="rId6"/>
    <sheet name="Figure 3-7" sheetId="10" r:id="rId7"/>
    <sheet name="Figure 3-8" sheetId="11" r:id="rId8"/>
    <sheet name="Figure 3-9" sheetId="15" r:id="rId9"/>
    <sheet name="Figure 3-9a" sheetId="46" r:id="rId10"/>
    <sheet name="Figure 3-10" sheetId="12" r:id="rId11"/>
    <sheet name="Figure 3-11" sheetId="13" r:id="rId12"/>
    <sheet name="Figure 3-12" sheetId="14" r:id="rId13"/>
    <sheet name="Figure 3-13" sheetId="16" r:id="rId14"/>
    <sheet name="Figure 3-14" sheetId="17" r:id="rId15"/>
    <sheet name="Figure 3-15a" sheetId="47" r:id="rId16"/>
    <sheet name="Figure 3-15b" sheetId="48" r:id="rId17"/>
    <sheet name="Figure 3-15c" sheetId="49" r:id="rId18"/>
    <sheet name="Figure 3-16" sheetId="19" r:id="rId19"/>
    <sheet name="Figure 3-17" sheetId="20" r:id="rId20"/>
    <sheet name="Figure 3-18a" sheetId="21" r:id="rId21"/>
    <sheet name="Figure 3-18b" sheetId="50" r:id="rId22"/>
    <sheet name="Figure 3-19" sheetId="22" r:id="rId23"/>
    <sheet name="Figure 3-20" sheetId="23" r:id="rId24"/>
    <sheet name="Figure 3-21a" sheetId="56" r:id="rId25"/>
    <sheet name="Figure 3-21b" sheetId="24" r:id="rId26"/>
    <sheet name="Figure 3-21c" sheetId="57" r:id="rId27"/>
    <sheet name="Figure 3-22" sheetId="25" r:id="rId28"/>
    <sheet name="Figure 3-23" sheetId="26" r:id="rId29"/>
    <sheet name="Figure 3-24" sheetId="27" r:id="rId30"/>
    <sheet name="Figure 3-25" sheetId="28" r:id="rId31"/>
    <sheet name="Figure 3-26" sheetId="52" r:id="rId32"/>
    <sheet name="Figure 3-27" sheetId="29" r:id="rId33"/>
    <sheet name="Figure 3-28" sheetId="30" r:id="rId34"/>
    <sheet name="Figure 3-29" sheetId="31" r:id="rId35"/>
    <sheet name="Figure 3-30" sheetId="32" r:id="rId36"/>
    <sheet name="Figure 3-31" sheetId="33" r:id="rId37"/>
    <sheet name="Figure 3-32" sheetId="34" r:id="rId38"/>
    <sheet name="Figure 3-33" sheetId="35" r:id="rId39"/>
    <sheet name="Figure 3-34" sheetId="45" r:id="rId40"/>
    <sheet name="Figure 3-35" sheetId="36" r:id="rId41"/>
    <sheet name="Figure 3-37a" sheetId="37" r:id="rId42"/>
    <sheet name="Figure 3-37b" sheetId="58" r:id="rId43"/>
    <sheet name="Figure 3-38" sheetId="38" r:id="rId44"/>
    <sheet name="Figure 3-39a" sheetId="53" r:id="rId45"/>
    <sheet name="Figure 3-39b" sheetId="54" r:id="rId46"/>
    <sheet name="Figure 3-40" sheetId="55" r:id="rId47"/>
    <sheet name="Figure 3-41" sheetId="39" r:id="rId48"/>
    <sheet name="Figure 3-42" sheetId="40" r:id="rId49"/>
    <sheet name="Figure 3-43" sheetId="41" r:id="rId50"/>
    <sheet name="Figure 3-44" sheetId="42" r:id="rId51"/>
    <sheet name="Figure 3-46" sheetId="43" r:id="rId52"/>
    <sheet name="Figure 3-47" sheetId="44" r:id="rId53"/>
  </sheets>
  <functionGroups builtInGroupCount="17"/>
  <externalReferences>
    <externalReference r:id="rId54"/>
  </externalReferences>
  <definedNames>
    <definedName name="CompanyYearStartDateIn">[1]Constants!$E$106</definedName>
    <definedName name="ContractEndDateIn">[1]Constants!$E$104</definedName>
    <definedName name="MinY">[1]Constants!$E$589</definedName>
    <definedName name="PreContractStartDateIn">[1]Constants!$E$109</definedName>
  </definedNames>
  <calcPr calcId="144525"/>
</workbook>
</file>

<file path=xl/calcChain.xml><?xml version="1.0" encoding="utf-8"?>
<calcChain xmlns="http://schemas.openxmlformats.org/spreadsheetml/2006/main">
  <c r="D18" i="44" l="1"/>
  <c r="F5" i="57" l="1"/>
  <c r="E5" i="57"/>
  <c r="D5" i="57"/>
  <c r="F5" i="56"/>
  <c r="E5" i="56"/>
  <c r="D5" i="56"/>
  <c r="B10" i="20"/>
  <c r="B12" i="17"/>
  <c r="B12" i="49"/>
  <c r="B12" i="48"/>
  <c r="B12" i="47"/>
  <c r="B10" i="16"/>
  <c r="E16" i="8"/>
  <c r="E9" i="58"/>
  <c r="H16" i="52" l="1"/>
  <c r="L16" i="52"/>
  <c r="P16" i="52"/>
  <c r="D11" i="52"/>
  <c r="D16" i="52" s="1"/>
  <c r="E11" i="52"/>
  <c r="E16" i="52" s="1"/>
  <c r="F11" i="52"/>
  <c r="F16" i="52" s="1"/>
  <c r="G11" i="52"/>
  <c r="G16" i="52" s="1"/>
  <c r="H11" i="52"/>
  <c r="I11" i="52"/>
  <c r="I16" i="52" s="1"/>
  <c r="J11" i="52"/>
  <c r="J16" i="52" s="1"/>
  <c r="K11" i="52"/>
  <c r="K16" i="52" s="1"/>
  <c r="L11" i="52"/>
  <c r="M11" i="52"/>
  <c r="M16" i="52" s="1"/>
  <c r="N11" i="52"/>
  <c r="N16" i="52" s="1"/>
  <c r="O11" i="52"/>
  <c r="O16" i="52" s="1"/>
  <c r="P11" i="52"/>
  <c r="B3" i="55"/>
  <c r="C6" i="54"/>
  <c r="C6" i="53"/>
  <c r="C15" i="50" l="1"/>
  <c r="E11" i="19"/>
  <c r="E12" i="49" l="1"/>
  <c r="E12" i="48"/>
  <c r="E12" i="47"/>
  <c r="E12" i="17"/>
  <c r="E10" i="16"/>
  <c r="E10" i="46"/>
  <c r="B10" i="46"/>
  <c r="B10" i="15"/>
  <c r="B17" i="11"/>
  <c r="B10" i="14" l="1"/>
  <c r="B10" i="13"/>
  <c r="H5" i="36"/>
  <c r="G16" i="45" l="1"/>
  <c r="H13" i="45"/>
  <c r="H12" i="45"/>
  <c r="H11" i="45"/>
  <c r="H10" i="45"/>
  <c r="H9" i="45"/>
  <c r="H8" i="45"/>
  <c r="H7" i="45"/>
  <c r="H6" i="45"/>
  <c r="H5" i="45"/>
  <c r="H14" i="45" s="1"/>
  <c r="H7" i="36"/>
  <c r="E9" i="37"/>
  <c r="H6" i="36"/>
  <c r="E35" i="44" l="1"/>
  <c r="E29" i="44"/>
  <c r="E30" i="44" s="1"/>
  <c r="E36" i="44" s="1"/>
  <c r="Q27" i="44"/>
  <c r="P27" i="44"/>
  <c r="O27" i="44"/>
  <c r="N27" i="44"/>
  <c r="M27" i="44"/>
  <c r="L27" i="44"/>
  <c r="K27" i="44"/>
  <c r="J27" i="44"/>
  <c r="I27" i="44"/>
  <c r="H27" i="44"/>
  <c r="G27" i="44"/>
  <c r="F27" i="44"/>
  <c r="E31" i="44" s="1"/>
  <c r="E37" i="44" s="1"/>
  <c r="E27" i="44"/>
  <c r="F20" i="44"/>
  <c r="F17" i="43"/>
  <c r="F13" i="43"/>
  <c r="J12" i="43"/>
  <c r="J13" i="43" s="1"/>
  <c r="J17" i="43" s="1"/>
  <c r="I12" i="43"/>
  <c r="I13" i="43" s="1"/>
  <c r="I17" i="43" s="1"/>
  <c r="H12" i="43"/>
  <c r="G12" i="43"/>
  <c r="F12" i="43"/>
  <c r="E12" i="43"/>
  <c r="E13" i="43" s="1"/>
  <c r="E17" i="43" s="1"/>
  <c r="D12" i="43"/>
  <c r="J11" i="43"/>
  <c r="I11" i="43"/>
  <c r="H11" i="43"/>
  <c r="H13" i="43" s="1"/>
  <c r="H17" i="43" s="1"/>
  <c r="G11" i="43"/>
  <c r="F11" i="43"/>
  <c r="E11" i="43"/>
  <c r="D11" i="43"/>
  <c r="D13" i="43" s="1"/>
  <c r="D17" i="43" s="1"/>
  <c r="D18" i="43" s="1"/>
  <c r="J7" i="43"/>
  <c r="I7" i="43"/>
  <c r="H7" i="43"/>
  <c r="G7" i="43"/>
  <c r="F7" i="43"/>
  <c r="E7" i="43"/>
  <c r="D7" i="43"/>
  <c r="D16" i="44" l="1"/>
  <c r="D27" i="44"/>
  <c r="K7" i="43"/>
  <c r="G13" i="43"/>
  <c r="G17" i="43" s="1"/>
  <c r="E18" i="43"/>
  <c r="F18" i="43" s="1"/>
  <c r="G18" i="43" s="1"/>
  <c r="H18" i="43" s="1"/>
  <c r="I18" i="43" s="1"/>
  <c r="J18" i="43" s="1"/>
  <c r="E7" i="42" l="1"/>
  <c r="F7" i="42"/>
  <c r="G7" i="42"/>
  <c r="H7" i="42"/>
  <c r="I7" i="42"/>
  <c r="J7" i="42"/>
  <c r="D7" i="42"/>
  <c r="J12" i="42"/>
  <c r="I12" i="42"/>
  <c r="H12" i="42"/>
  <c r="G12" i="42"/>
  <c r="F12" i="42"/>
  <c r="E12" i="42"/>
  <c r="D12" i="42"/>
  <c r="J11" i="42"/>
  <c r="I11" i="42"/>
  <c r="I13" i="42" s="1"/>
  <c r="I17" i="42" s="1"/>
  <c r="H11" i="42"/>
  <c r="G11" i="42"/>
  <c r="F11" i="42"/>
  <c r="E11" i="42"/>
  <c r="E13" i="42" s="1"/>
  <c r="E17" i="42" s="1"/>
  <c r="D11" i="42"/>
  <c r="J12" i="41"/>
  <c r="J13" i="41" s="1"/>
  <c r="J17" i="41" s="1"/>
  <c r="I12" i="41"/>
  <c r="I13" i="41" s="1"/>
  <c r="I17" i="41" s="1"/>
  <c r="H12" i="41"/>
  <c r="G12" i="41"/>
  <c r="F12" i="41"/>
  <c r="F13" i="41" s="1"/>
  <c r="F17" i="41" s="1"/>
  <c r="E12" i="41"/>
  <c r="E13" i="41" s="1"/>
  <c r="E17" i="41" s="1"/>
  <c r="D12" i="41"/>
  <c r="J11" i="41"/>
  <c r="I11" i="41"/>
  <c r="H11" i="41"/>
  <c r="H13" i="41" s="1"/>
  <c r="H17" i="41" s="1"/>
  <c r="G11" i="41"/>
  <c r="G13" i="41" s="1"/>
  <c r="G17" i="41" s="1"/>
  <c r="F11" i="41"/>
  <c r="E11" i="41"/>
  <c r="D11" i="41"/>
  <c r="J12" i="40"/>
  <c r="J13" i="40" s="1"/>
  <c r="J17" i="40" s="1"/>
  <c r="I12" i="40"/>
  <c r="H12" i="40"/>
  <c r="G12" i="40"/>
  <c r="G13" i="40" s="1"/>
  <c r="G17" i="40" s="1"/>
  <c r="F12" i="40"/>
  <c r="F13" i="40" s="1"/>
  <c r="F17" i="40" s="1"/>
  <c r="E12" i="40"/>
  <c r="D12" i="40"/>
  <c r="D13" i="40" s="1"/>
  <c r="J11" i="40"/>
  <c r="I11" i="40"/>
  <c r="H11" i="40"/>
  <c r="G11" i="40"/>
  <c r="F11" i="40"/>
  <c r="E11" i="40"/>
  <c r="D11" i="40"/>
  <c r="G18" i="39"/>
  <c r="H18" i="39" s="1"/>
  <c r="I18" i="39" s="1"/>
  <c r="J18" i="39" s="1"/>
  <c r="F18" i="39"/>
  <c r="E18" i="39"/>
  <c r="D18" i="39"/>
  <c r="E17" i="39"/>
  <c r="F17" i="39"/>
  <c r="G17" i="39"/>
  <c r="H17" i="39"/>
  <c r="I17" i="39"/>
  <c r="J17" i="39"/>
  <c r="D17" i="39"/>
  <c r="E13" i="39"/>
  <c r="F13" i="39"/>
  <c r="G13" i="39"/>
  <c r="H13" i="39"/>
  <c r="I13" i="39"/>
  <c r="J13" i="39"/>
  <c r="D13" i="39"/>
  <c r="E12" i="39"/>
  <c r="F12" i="39"/>
  <c r="G12" i="39"/>
  <c r="H12" i="39"/>
  <c r="I12" i="39"/>
  <c r="J12" i="39"/>
  <c r="D12" i="39"/>
  <c r="E11" i="39"/>
  <c r="F11" i="39"/>
  <c r="G11" i="39"/>
  <c r="H11" i="39"/>
  <c r="I11" i="39"/>
  <c r="J11" i="39"/>
  <c r="D11" i="39"/>
  <c r="G13" i="42" l="1"/>
  <c r="G17" i="42" s="1"/>
  <c r="H13" i="42"/>
  <c r="H17" i="42" s="1"/>
  <c r="F13" i="42"/>
  <c r="F17" i="42" s="1"/>
  <c r="J13" i="42"/>
  <c r="J17" i="42" s="1"/>
  <c r="K7" i="42"/>
  <c r="D13" i="42"/>
  <c r="D17" i="42" s="1"/>
  <c r="D18" i="42" s="1"/>
  <c r="E18" i="42" s="1"/>
  <c r="D13" i="41"/>
  <c r="D17" i="41" s="1"/>
  <c r="D18" i="41" s="1"/>
  <c r="E18" i="41" s="1"/>
  <c r="F18" i="41" s="1"/>
  <c r="G18" i="41" s="1"/>
  <c r="H18" i="41" s="1"/>
  <c r="I18" i="41" s="1"/>
  <c r="J18" i="41" s="1"/>
  <c r="E13" i="40"/>
  <c r="E17" i="40" s="1"/>
  <c r="I13" i="40"/>
  <c r="I17" i="40" s="1"/>
  <c r="H13" i="40"/>
  <c r="H17" i="40" s="1"/>
  <c r="D17" i="40"/>
  <c r="D18" i="40" s="1"/>
  <c r="F18" i="42" l="1"/>
  <c r="G18" i="42" s="1"/>
  <c r="H18" i="42" s="1"/>
  <c r="I18" i="42" s="1"/>
  <c r="J18" i="42" s="1"/>
  <c r="E18" i="40"/>
  <c r="F18" i="40" s="1"/>
  <c r="G18" i="40" s="1"/>
  <c r="H18" i="40" s="1"/>
  <c r="I18" i="40" s="1"/>
  <c r="J18" i="40" s="1"/>
  <c r="G16" i="35" l="1"/>
  <c r="G18" i="34"/>
  <c r="G17" i="34"/>
  <c r="G16" i="34"/>
  <c r="G15" i="34"/>
  <c r="G14" i="34"/>
  <c r="G13" i="34"/>
  <c r="G12" i="34"/>
  <c r="G11" i="34"/>
  <c r="G10" i="34"/>
  <c r="G14" i="33"/>
  <c r="G20" i="33"/>
  <c r="G19" i="33"/>
  <c r="G18" i="33"/>
  <c r="G17" i="33"/>
  <c r="G16" i="33"/>
  <c r="G15" i="33"/>
  <c r="G18" i="32"/>
  <c r="G17" i="32"/>
  <c r="G16" i="32"/>
  <c r="G15" i="32"/>
  <c r="G14" i="32"/>
  <c r="G13" i="32"/>
  <c r="G12" i="32"/>
  <c r="G11" i="32"/>
  <c r="G10" i="32"/>
  <c r="C17" i="38"/>
  <c r="C18" i="38"/>
  <c r="C16" i="38"/>
  <c r="E13" i="31" l="1"/>
  <c r="C10" i="30"/>
  <c r="C7" i="30"/>
  <c r="C8" i="29"/>
  <c r="B9" i="28" l="1"/>
  <c r="D8" i="27"/>
  <c r="C8" i="26"/>
  <c r="C8" i="25"/>
  <c r="F5" i="24"/>
  <c r="E5" i="24"/>
  <c r="D5" i="24"/>
  <c r="G5" i="23"/>
  <c r="D8" i="23" s="1"/>
  <c r="I5" i="23" l="1"/>
  <c r="I13" i="22" l="1"/>
  <c r="H13" i="22"/>
  <c r="G13" i="22"/>
  <c r="F13" i="22"/>
  <c r="E13" i="22"/>
  <c r="D13" i="22"/>
  <c r="C15" i="21" l="1"/>
  <c r="C10" i="20"/>
  <c r="E10" i="15"/>
  <c r="E10" i="14"/>
  <c r="E10" i="13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F4" i="12"/>
  <c r="F5" i="12" s="1"/>
  <c r="F6" i="12" s="1"/>
  <c r="F7" i="12" s="1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F18" i="12" s="1"/>
  <c r="C4" i="12"/>
  <c r="E17" i="11" l="1"/>
  <c r="E16" i="10"/>
  <c r="E16" i="9"/>
  <c r="E16" i="7"/>
  <c r="B14" i="6"/>
  <c r="E10" i="6"/>
  <c r="E9" i="6"/>
  <c r="E8" i="6"/>
  <c r="E7" i="6"/>
  <c r="E6" i="6"/>
  <c r="E5" i="6"/>
  <c r="E4" i="6"/>
  <c r="E11" i="6" s="1"/>
  <c r="B13" i="5"/>
  <c r="E10" i="4"/>
  <c r="E9" i="4"/>
  <c r="E8" i="4"/>
  <c r="E7" i="4"/>
  <c r="E6" i="4"/>
  <c r="E5" i="4"/>
  <c r="E4" i="4"/>
</calcChain>
</file>

<file path=xl/sharedStrings.xml><?xml version="1.0" encoding="utf-8"?>
<sst xmlns="http://schemas.openxmlformats.org/spreadsheetml/2006/main" count="814" uniqueCount="196">
  <si>
    <t>IF()</t>
  </si>
  <si>
    <t>Name</t>
  </si>
  <si>
    <t>Age</t>
  </si>
  <si>
    <t>Salary</t>
  </si>
  <si>
    <t>John</t>
  </si>
  <si>
    <t>Mark</t>
  </si>
  <si>
    <t>Rufus</t>
  </si>
  <si>
    <t>Sarah</t>
  </si>
  <si>
    <t>Andy</t>
  </si>
  <si>
    <t>Julia</t>
  </si>
  <si>
    <t>Jitan</t>
  </si>
  <si>
    <t>Threshold</t>
  </si>
  <si>
    <t>Rate</t>
  </si>
  <si>
    <t>End</t>
  </si>
  <si>
    <t>Are any of the sales team over 40?</t>
  </si>
  <si>
    <t>Nested IF</t>
  </si>
  <si>
    <t>Over 40</t>
  </si>
  <si>
    <t>Totals</t>
  </si>
  <si>
    <t>Criteria</t>
  </si>
  <si>
    <t>&gt;=30</t>
  </si>
  <si>
    <t>Question</t>
  </si>
  <si>
    <t>SUMIF()</t>
  </si>
  <si>
    <t>COUNTIF()</t>
  </si>
  <si>
    <t>AVERAGEIF()</t>
  </si>
  <si>
    <t>SUMIFS()</t>
  </si>
  <si>
    <t>Date</t>
  </si>
  <si>
    <t>Day</t>
  </si>
  <si>
    <t>Outflow</t>
  </si>
  <si>
    <t>Inflow</t>
  </si>
  <si>
    <t>Cumulative Balance</t>
  </si>
  <si>
    <t>Day ref</t>
  </si>
  <si>
    <t>Monday</t>
  </si>
  <si>
    <t>Tuesday</t>
  </si>
  <si>
    <t>Wednesday</t>
  </si>
  <si>
    <t>Thursday</t>
  </si>
  <si>
    <t>Friday</t>
  </si>
  <si>
    <t>Saturday</t>
  </si>
  <si>
    <t>Sunday</t>
  </si>
  <si>
    <t>VLOOKUP()</t>
  </si>
  <si>
    <t>END</t>
  </si>
  <si>
    <t>Table</t>
  </si>
  <si>
    <t>Calculation</t>
  </si>
  <si>
    <t>Band</t>
  </si>
  <si>
    <t>FTE</t>
  </si>
  <si>
    <t>Type the name of the person</t>
  </si>
  <si>
    <t>Mary</t>
  </si>
  <si>
    <t>Clarise</t>
  </si>
  <si>
    <t>Output</t>
  </si>
  <si>
    <t>Andrea</t>
  </si>
  <si>
    <t>Jonathan</t>
  </si>
  <si>
    <t>Paul</t>
  </si>
  <si>
    <t>Sasha</t>
  </si>
  <si>
    <t>Vijay</t>
  </si>
  <si>
    <t>Anduke</t>
  </si>
  <si>
    <t>Claire</t>
  </si>
  <si>
    <t>MATCH()</t>
  </si>
  <si>
    <t>MATCH() &amp; VLOOKUP()</t>
  </si>
  <si>
    <t>INDEX()</t>
  </si>
  <si>
    <t>Inputs</t>
  </si>
  <si>
    <t>INDEX() &amp; MATCH()</t>
  </si>
  <si>
    <t>Number of rows to move</t>
  </si>
  <si>
    <t>Height in rows</t>
  </si>
  <si>
    <t>Width in columns</t>
  </si>
  <si>
    <t>OFFSET()</t>
  </si>
  <si>
    <t>CHOOSE()</t>
  </si>
  <si>
    <t>Input</t>
  </si>
  <si>
    <t>Price Table</t>
  </si>
  <si>
    <t>Low</t>
  </si>
  <si>
    <t>Standard</t>
  </si>
  <si>
    <t>High</t>
  </si>
  <si>
    <t>Start Date</t>
  </si>
  <si>
    <t>End Date</t>
  </si>
  <si>
    <t>Holiday 1</t>
  </si>
  <si>
    <t>Holiday 2</t>
  </si>
  <si>
    <t>Weekend</t>
  </si>
  <si>
    <t>Number of days</t>
  </si>
  <si>
    <t>Daily rate</t>
  </si>
  <si>
    <t>Total Cost</t>
  </si>
  <si>
    <t>Number of work days</t>
  </si>
  <si>
    <t>NETWORKDAYS.INTL()</t>
  </si>
  <si>
    <t>Difference (Day)</t>
  </si>
  <si>
    <t>DATEDIF</t>
  </si>
  <si>
    <t>Project will end on</t>
  </si>
  <si>
    <t>WORKDAY()</t>
  </si>
  <si>
    <t>Project Start Date</t>
  </si>
  <si>
    <t>Pre-Project Start date</t>
  </si>
  <si>
    <t>EOMONTH()</t>
  </si>
  <si>
    <t>DAYS360()</t>
  </si>
  <si>
    <t>DATE()</t>
  </si>
  <si>
    <t>Month1</t>
  </si>
  <si>
    <t>Month2</t>
  </si>
  <si>
    <t>Month3</t>
  </si>
  <si>
    <t>Alternative</t>
  </si>
  <si>
    <t>City</t>
  </si>
  <si>
    <t>New York</t>
  </si>
  <si>
    <t>Vancouver</t>
  </si>
  <si>
    <t>Singapore</t>
  </si>
  <si>
    <t>Cape Town</t>
  </si>
  <si>
    <t>Mumbai</t>
  </si>
  <si>
    <t>Beijing</t>
  </si>
  <si>
    <t>Paris</t>
  </si>
  <si>
    <t>London</t>
  </si>
  <si>
    <t>Total</t>
  </si>
  <si>
    <t>SUM()</t>
  </si>
  <si>
    <t>PRODUCT()</t>
  </si>
  <si>
    <t>Grade Table</t>
  </si>
  <si>
    <t>Salary from</t>
  </si>
  <si>
    <t>Salary To</t>
  </si>
  <si>
    <t>Grade</t>
  </si>
  <si>
    <t>Gender</t>
  </si>
  <si>
    <t>Mindy</t>
  </si>
  <si>
    <t>F</t>
  </si>
  <si>
    <t>M</t>
  </si>
  <si>
    <t>Pat</t>
  </si>
  <si>
    <t>Anthony</t>
  </si>
  <si>
    <t>Cindy</t>
  </si>
  <si>
    <t>Tom</t>
  </si>
  <si>
    <t>Richard</t>
  </si>
  <si>
    <t>Sanjeev</t>
  </si>
  <si>
    <t>AND()</t>
  </si>
  <si>
    <t>MESSY IF()</t>
  </si>
  <si>
    <t>OR()</t>
  </si>
  <si>
    <t>Days worked</t>
  </si>
  <si>
    <t>Daily Rate</t>
  </si>
  <si>
    <t>SUMPRODUCT()</t>
  </si>
  <si>
    <t>Reference</t>
  </si>
  <si>
    <t>Contact</t>
  </si>
  <si>
    <t>Assumption</t>
  </si>
  <si>
    <t>Owner</t>
  </si>
  <si>
    <t>Ref Trace</t>
  </si>
  <si>
    <t>Sc&amp;St.doc_v1.1</t>
  </si>
  <si>
    <t>DT</t>
  </si>
  <si>
    <t>Contract  will run for 4 years</t>
  </si>
  <si>
    <t>J.Perkins</t>
  </si>
  <si>
    <t>UDF</t>
  </si>
  <si>
    <t>Demand</t>
  </si>
  <si>
    <t>Supply</t>
  </si>
  <si>
    <t>Effectiveness Index</t>
  </si>
  <si>
    <t>Data</t>
  </si>
  <si>
    <t>Calculations</t>
  </si>
  <si>
    <t>Month</t>
  </si>
  <si>
    <t>Revenue</t>
  </si>
  <si>
    <t>Revenue (Value)</t>
  </si>
  <si>
    <t>Profit Margin in %</t>
  </si>
  <si>
    <t>Profit Margin</t>
  </si>
  <si>
    <t>Price</t>
  </si>
  <si>
    <t>Cumulative Price</t>
  </si>
  <si>
    <t>Layout</t>
  </si>
  <si>
    <t>Error check</t>
  </si>
  <si>
    <t>Tables</t>
  </si>
  <si>
    <t>Frequency Table</t>
  </si>
  <si>
    <t>Annual</t>
  </si>
  <si>
    <t>Semi-Annual</t>
  </si>
  <si>
    <t>Quarterly</t>
  </si>
  <si>
    <t>Monthly</t>
  </si>
  <si>
    <t>Four Weekly</t>
  </si>
  <si>
    <t>Weekly</t>
  </si>
  <si>
    <t>Daily</t>
  </si>
  <si>
    <t>Leap Daily</t>
  </si>
  <si>
    <t>Capital Flow</t>
  </si>
  <si>
    <t>IRR of Net Quarterly Flow</t>
  </si>
  <si>
    <t>NPV</t>
  </si>
  <si>
    <t>Outputs</t>
  </si>
  <si>
    <t>Discount Rate</t>
  </si>
  <si>
    <t>Functions Case Study</t>
  </si>
  <si>
    <t>Commission</t>
  </si>
  <si>
    <t>Commission rates</t>
  </si>
  <si>
    <t>7 per cent</t>
  </si>
  <si>
    <t>Return the data in column 3, Row 4</t>
  </si>
  <si>
    <t>Number of columns to move</t>
  </si>
  <si>
    <t>Offset range</t>
  </si>
  <si>
    <t>Scenario price chosen</t>
  </si>
  <si>
    <t>Scenario price</t>
  </si>
  <si>
    <t>What is the total cost for the month?</t>
  </si>
  <si>
    <t>The range header we want is:</t>
  </si>
  <si>
    <t>Column heading</t>
  </si>
  <si>
    <t>Difference (Month)</t>
  </si>
  <si>
    <t>Difference (Year)</t>
  </si>
  <si>
    <t>Operation date</t>
  </si>
  <si>
    <t>Month number</t>
  </si>
  <si>
    <t>Billing trigger</t>
  </si>
  <si>
    <t>Billing cycle month(s)</t>
  </si>
  <si>
    <t>When to bill</t>
  </si>
  <si>
    <t>MOD()</t>
  </si>
  <si>
    <t>ISDATE()</t>
  </si>
  <si>
    <t>Input Start Date</t>
  </si>
  <si>
    <t>Error Check: Date</t>
  </si>
  <si>
    <t>12/25/2013</t>
  </si>
  <si>
    <t>WORKSHEETSTATS()</t>
  </si>
  <si>
    <t>Total salary of salespeople over 30</t>
  </si>
  <si>
    <t>Total salespeople over 30</t>
  </si>
  <si>
    <t>Population (In millions)</t>
  </si>
  <si>
    <t>Days Worked</t>
  </si>
  <si>
    <t>Discount Rate for NPV</t>
  </si>
  <si>
    <t>Cash Flow Frequency</t>
  </si>
  <si>
    <t>IRR per Annum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</si>
</sst>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_-;[Red]\-\ #,##0_-;_-* &quot;-&quot;??_-;_-@_-"/>
    <numFmt numFmtId="165" formatCode="#,##0.00;[Red]\(#,##0.00\);&quot;  -  &quot;"/>
    <numFmt numFmtId="166" formatCode="#,##0.0"/>
    <numFmt numFmtId="167" formatCode="dd\-mmm\-yyyy"/>
    <numFmt numFmtId="168" formatCode="#,##0;[Red]\(#,##0\);&quot; - &quot;"/>
    <numFmt numFmtId="169" formatCode="0.0%"/>
    <numFmt numFmtId="170" formatCode="&quot;FALSE&quot;;&quot;WARNING&quot;;&quot;TRUE&quot;"/>
    <numFmt numFmtId="171" formatCode="0.00%;[Red]\(0.00%\);&quot; - &quot;"/>
    <numFmt numFmtId="172" formatCode="mm/dd/yyyy"/>
    <numFmt numFmtId="173" formatCode="mmm\-dd\-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9"/>
      <color theme="3" tint="-0.249977111117893"/>
      <name val="Calibri"/>
      <family val="2"/>
      <scheme val="minor"/>
    </font>
    <font>
      <sz val="10"/>
      <color indexed="8"/>
      <name val="Arial"/>
      <family val="2"/>
    </font>
    <font>
      <b/>
      <sz val="8"/>
      <color indexed="9"/>
      <name val="Arial"/>
      <family val="2"/>
    </font>
    <font>
      <b/>
      <u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3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</borders>
  <cellStyleXfs count="8">
    <xf numFmtId="0" fontId="0" fillId="0" borderId="0"/>
    <xf numFmtId="0" fontId="1" fillId="2" borderId="1" applyNumberFormat="0" applyFont="0" applyAlignment="0" applyProtection="0"/>
    <xf numFmtId="164" fontId="6" fillId="5" borderId="2"/>
    <xf numFmtId="164" fontId="6" fillId="6" borderId="2"/>
    <xf numFmtId="15" fontId="6" fillId="6" borderId="2"/>
    <xf numFmtId="0" fontId="9" fillId="0" borderId="0" applyNumberFormat="0" applyFill="0" applyBorder="0" applyAlignment="0" applyProtection="0"/>
    <xf numFmtId="0" fontId="11" fillId="0" borderId="0"/>
    <xf numFmtId="0" fontId="6" fillId="0" borderId="0"/>
  </cellStyleXfs>
  <cellXfs count="110">
    <xf numFmtId="0" fontId="0" fillId="0" borderId="0" xfId="0"/>
    <xf numFmtId="0" fontId="2" fillId="3" borderId="0" xfId="0" applyFont="1" applyFill="1"/>
    <xf numFmtId="0" fontId="3" fillId="0" borderId="0" xfId="0" applyFont="1" applyAlignment="1">
      <alignment horizontal="center"/>
    </xf>
    <xf numFmtId="3" fontId="0" fillId="0" borderId="0" xfId="0" applyNumberFormat="1"/>
    <xf numFmtId="0" fontId="5" fillId="0" borderId="0" xfId="0" applyFont="1"/>
    <xf numFmtId="9" fontId="0" fillId="0" borderId="0" xfId="0" applyNumberFormat="1"/>
    <xf numFmtId="0" fontId="2" fillId="4" borderId="0" xfId="0" applyFont="1" applyFill="1"/>
    <xf numFmtId="0" fontId="3" fillId="7" borderId="3" xfId="0" applyFont="1" applyFill="1" applyBorder="1"/>
    <xf numFmtId="0" fontId="0" fillId="7" borderId="3" xfId="0" applyFill="1" applyBorder="1"/>
    <xf numFmtId="3" fontId="0" fillId="7" borderId="3" xfId="0" applyNumberFormat="1" applyFill="1" applyBorder="1"/>
    <xf numFmtId="3" fontId="3" fillId="7" borderId="3" xfId="0" applyNumberFormat="1" applyFont="1" applyFill="1" applyBorder="1"/>
    <xf numFmtId="0" fontId="3" fillId="0" borderId="0" xfId="0" applyFont="1"/>
    <xf numFmtId="0" fontId="0" fillId="8" borderId="4" xfId="0" quotePrefix="1" applyFill="1" applyBorder="1"/>
    <xf numFmtId="3" fontId="0" fillId="8" borderId="4" xfId="0" applyNumberFormat="1" applyFill="1" applyBorder="1"/>
    <xf numFmtId="3" fontId="0" fillId="9" borderId="4" xfId="0" applyNumberFormat="1" applyFill="1" applyBorder="1"/>
    <xf numFmtId="0" fontId="0" fillId="7" borderId="4" xfId="0" applyFill="1" applyBorder="1"/>
    <xf numFmtId="165" fontId="0" fillId="8" borderId="4" xfId="0" applyNumberFormat="1" applyFill="1" applyBorder="1"/>
    <xf numFmtId="165" fontId="0" fillId="10" borderId="4" xfId="0" applyNumberForma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7" borderId="4" xfId="0" applyNumberFormat="1" applyFill="1" applyBorder="1"/>
    <xf numFmtId="0" fontId="0" fillId="8" borderId="4" xfId="0" applyFill="1" applyBorder="1"/>
    <xf numFmtId="0" fontId="0" fillId="0" borderId="9" xfId="0" applyBorder="1"/>
    <xf numFmtId="0" fontId="0" fillId="0" borderId="10" xfId="0" applyBorder="1"/>
    <xf numFmtId="0" fontId="4" fillId="4" borderId="0" xfId="0" applyFont="1" applyFill="1"/>
    <xf numFmtId="0" fontId="7" fillId="0" borderId="0" xfId="0" applyFont="1"/>
    <xf numFmtId="0" fontId="3" fillId="0" borderId="4" xfId="0" applyFont="1" applyBorder="1" applyAlignment="1">
      <alignment horizontal="center"/>
    </xf>
    <xf numFmtId="0" fontId="0" fillId="11" borderId="0" xfId="0" applyFill="1" applyBorder="1"/>
    <xf numFmtId="166" fontId="0" fillId="8" borderId="4" xfId="0" applyNumberFormat="1" applyFill="1" applyBorder="1"/>
    <xf numFmtId="166" fontId="0" fillId="8" borderId="4" xfId="0" quotePrefix="1" applyNumberFormat="1" applyFill="1" applyBorder="1"/>
    <xf numFmtId="0" fontId="0" fillId="7" borderId="4" xfId="0" applyFill="1" applyBorder="1" applyAlignment="1">
      <alignment horizontal="center"/>
    </xf>
    <xf numFmtId="3" fontId="0" fillId="7" borderId="4" xfId="0" applyNumberFormat="1" applyFill="1" applyBorder="1"/>
    <xf numFmtId="0" fontId="3" fillId="0" borderId="0" xfId="0" applyFont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0" fontId="0" fillId="12" borderId="13" xfId="0" applyFill="1" applyBorder="1"/>
    <xf numFmtId="3" fontId="0" fillId="8" borderId="14" xfId="0" applyNumberFormat="1" applyFill="1" applyBorder="1"/>
    <xf numFmtId="0" fontId="0" fillId="12" borderId="15" xfId="0" applyFill="1" applyBorder="1"/>
    <xf numFmtId="0" fontId="0" fillId="12" borderId="16" xfId="0" applyFill="1" applyBorder="1"/>
    <xf numFmtId="0" fontId="0" fillId="8" borderId="17" xfId="0" applyFill="1" applyBorder="1"/>
    <xf numFmtId="0" fontId="4" fillId="11" borderId="4" xfId="0" applyFont="1" applyFill="1" applyBorder="1" applyAlignment="1">
      <alignment horizontal="center"/>
    </xf>
    <xf numFmtId="0" fontId="0" fillId="8" borderId="19" xfId="1" applyFont="1" applyFill="1" applyBorder="1"/>
    <xf numFmtId="0" fontId="0" fillId="7" borderId="19" xfId="1" applyFont="1" applyFill="1" applyBorder="1"/>
    <xf numFmtId="0" fontId="3" fillId="8" borderId="18" xfId="1" applyFont="1" applyFill="1" applyBorder="1" applyAlignment="1">
      <alignment horizontal="center"/>
    </xf>
    <xf numFmtId="167" fontId="0" fillId="13" borderId="4" xfId="0" applyNumberFormat="1" applyFill="1" applyBorder="1"/>
    <xf numFmtId="3" fontId="0" fillId="13" borderId="4" xfId="0" applyNumberFormat="1" applyFill="1" applyBorder="1" applyAlignment="1">
      <alignment horizontal="center"/>
    </xf>
    <xf numFmtId="3" fontId="0" fillId="13" borderId="4" xfId="0" applyNumberFormat="1" applyFill="1" applyBorder="1"/>
    <xf numFmtId="0" fontId="3" fillId="0" borderId="4" xfId="0" applyFont="1" applyBorder="1" applyAlignment="1">
      <alignment horizontal="center" wrapText="1"/>
    </xf>
    <xf numFmtId="166" fontId="0" fillId="7" borderId="4" xfId="0" applyNumberFormat="1" applyFill="1" applyBorder="1"/>
    <xf numFmtId="0" fontId="3" fillId="0" borderId="19" xfId="0" applyFont="1" applyBorder="1" applyAlignment="1">
      <alignment horizontal="center" vertical="center" wrapText="1"/>
    </xf>
    <xf numFmtId="3" fontId="0" fillId="8" borderId="19" xfId="0" applyNumberFormat="1" applyFill="1" applyBorder="1"/>
    <xf numFmtId="0" fontId="3" fillId="0" borderId="19" xfId="0" applyFont="1" applyBorder="1" applyAlignment="1">
      <alignment horizontal="center" vertical="center"/>
    </xf>
    <xf numFmtId="0" fontId="0" fillId="8" borderId="19" xfId="0" applyFill="1" applyBorder="1"/>
    <xf numFmtId="0" fontId="0" fillId="7" borderId="19" xfId="0" applyFill="1" applyBorder="1"/>
    <xf numFmtId="0" fontId="3" fillId="0" borderId="0" xfId="0" applyFont="1" applyBorder="1" applyAlignment="1">
      <alignment horizontal="center" vertical="center"/>
    </xf>
    <xf numFmtId="166" fontId="0" fillId="8" borderId="19" xfId="0" applyNumberFormat="1" applyFill="1" applyBorder="1"/>
    <xf numFmtId="3" fontId="0" fillId="7" borderId="19" xfId="0" applyNumberFormat="1" applyFont="1" applyFill="1" applyBorder="1"/>
    <xf numFmtId="3" fontId="3" fillId="7" borderId="19" xfId="0" applyNumberFormat="1" applyFont="1" applyFill="1" applyBorder="1"/>
    <xf numFmtId="0" fontId="8" fillId="0" borderId="0" xfId="0" applyFont="1"/>
    <xf numFmtId="0" fontId="3" fillId="0" borderId="19" xfId="0" applyFont="1" applyBorder="1" applyAlignment="1">
      <alignment horizontal="center"/>
    </xf>
    <xf numFmtId="0" fontId="9" fillId="8" borderId="20" xfId="5" applyFill="1" applyBorder="1"/>
    <xf numFmtId="0" fontId="0" fillId="8" borderId="20" xfId="0" applyFill="1" applyBorder="1"/>
    <xf numFmtId="0" fontId="10" fillId="7" borderId="0" xfId="0" applyFont="1" applyFill="1"/>
    <xf numFmtId="0" fontId="0" fillId="4" borderId="0" xfId="0" applyFill="1"/>
    <xf numFmtId="2" fontId="0" fillId="7" borderId="4" xfId="0" applyNumberFormat="1" applyFill="1" applyBorder="1"/>
    <xf numFmtId="0" fontId="0" fillId="14" borderId="0" xfId="0" applyFill="1"/>
    <xf numFmtId="0" fontId="0" fillId="15" borderId="0" xfId="0" applyFill="1"/>
    <xf numFmtId="0" fontId="4" fillId="15" borderId="0" xfId="0" applyFont="1" applyFill="1"/>
    <xf numFmtId="17" fontId="3" fillId="0" borderId="4" xfId="0" applyNumberFormat="1" applyFont="1" applyBorder="1" applyAlignment="1">
      <alignment horizontal="center"/>
    </xf>
    <xf numFmtId="168" fontId="0" fillId="8" borderId="4" xfId="0" applyNumberFormat="1" applyFill="1" applyBorder="1"/>
    <xf numFmtId="169" fontId="0" fillId="8" borderId="4" xfId="0" applyNumberFormat="1" applyFill="1" applyBorder="1"/>
    <xf numFmtId="168" fontId="0" fillId="7" borderId="4" xfId="0" applyNumberFormat="1" applyFill="1" applyBorder="1"/>
    <xf numFmtId="0" fontId="3" fillId="0" borderId="0" xfId="0" applyFont="1" applyFill="1" applyBorder="1"/>
    <xf numFmtId="169" fontId="0" fillId="7" borderId="4" xfId="0" applyNumberFormat="1" applyFill="1" applyBorder="1"/>
    <xf numFmtId="168" fontId="0" fillId="16" borderId="4" xfId="0" applyNumberFormat="1" applyFill="1" applyBorder="1"/>
    <xf numFmtId="169" fontId="0" fillId="16" borderId="4" xfId="0" applyNumberFormat="1" applyFill="1" applyBorder="1"/>
    <xf numFmtId="169" fontId="0" fillId="8" borderId="4" xfId="0" quotePrefix="1" applyNumberFormat="1" applyFill="1" applyBorder="1"/>
    <xf numFmtId="0" fontId="0" fillId="0" borderId="0" xfId="0" applyAlignment="1">
      <alignment horizontal="center"/>
    </xf>
    <xf numFmtId="170" fontId="12" fillId="17" borderId="21" xfId="6" applyNumberFormat="1" applyFont="1" applyFill="1" applyBorder="1" applyAlignment="1" applyProtection="1">
      <alignment horizontal="center" vertical="center" shrinkToFit="1"/>
      <protection hidden="1"/>
    </xf>
    <xf numFmtId="17" fontId="0" fillId="0" borderId="4" xfId="0" applyNumberFormat="1" applyFont="1" applyBorder="1" applyAlignment="1">
      <alignment horizontal="center"/>
    </xf>
    <xf numFmtId="0" fontId="13" fillId="18" borderId="0" xfId="0" applyFont="1" applyFill="1"/>
    <xf numFmtId="0" fontId="14" fillId="0" borderId="0" xfId="0" applyFont="1"/>
    <xf numFmtId="0" fontId="15" fillId="0" borderId="0" xfId="0" applyFont="1"/>
    <xf numFmtId="168" fontId="14" fillId="8" borderId="4" xfId="0" applyNumberFormat="1" applyFont="1" applyFill="1" applyBorder="1" applyAlignment="1">
      <alignment horizontal="center"/>
    </xf>
    <xf numFmtId="168" fontId="14" fillId="8" borderId="4" xfId="0" applyNumberFormat="1" applyFont="1" applyFill="1" applyBorder="1"/>
    <xf numFmtId="0" fontId="16" fillId="18" borderId="0" xfId="0" applyFont="1" applyFill="1"/>
    <xf numFmtId="0" fontId="17" fillId="0" borderId="0" xfId="0" applyFont="1"/>
    <xf numFmtId="0" fontId="14" fillId="0" borderId="4" xfId="0" applyFont="1" applyBorder="1" applyAlignment="1">
      <alignment horizontal="center"/>
    </xf>
    <xf numFmtId="0" fontId="17" fillId="0" borderId="0" xfId="0" applyFont="1" applyAlignment="1">
      <alignment wrapText="1"/>
    </xf>
    <xf numFmtId="168" fontId="18" fillId="8" borderId="22" xfId="0" applyNumberFormat="1" applyFont="1" applyFill="1" applyBorder="1" applyAlignment="1">
      <alignment horizontal="center"/>
    </xf>
    <xf numFmtId="0" fontId="14" fillId="7" borderId="4" xfId="0" applyFont="1" applyFill="1" applyBorder="1"/>
    <xf numFmtId="9" fontId="14" fillId="8" borderId="4" xfId="0" applyNumberFormat="1" applyFont="1" applyFill="1" applyBorder="1"/>
    <xf numFmtId="168" fontId="14" fillId="7" borderId="4" xfId="0" applyNumberFormat="1" applyFont="1" applyFill="1" applyBorder="1" applyAlignment="1">
      <alignment horizontal="center"/>
    </xf>
    <xf numFmtId="171" fontId="14" fillId="7" borderId="4" xfId="0" applyNumberFormat="1" applyFont="1" applyFill="1" applyBorder="1" applyAlignment="1">
      <alignment horizontal="center"/>
    </xf>
    <xf numFmtId="0" fontId="19" fillId="4" borderId="0" xfId="0" applyFont="1" applyFill="1"/>
    <xf numFmtId="0" fontId="0" fillId="8" borderId="4" xfId="0" applyFill="1" applyBorder="1" applyAlignment="1">
      <alignment horizontal="center"/>
    </xf>
    <xf numFmtId="0" fontId="20" fillId="11" borderId="4" xfId="0" applyFont="1" applyFill="1" applyBorder="1" applyAlignment="1">
      <alignment horizontal="center"/>
    </xf>
    <xf numFmtId="14" fontId="0" fillId="0" borderId="0" xfId="0" applyNumberFormat="1"/>
    <xf numFmtId="17" fontId="3" fillId="0" borderId="0" xfId="0" applyNumberFormat="1" applyFont="1" applyAlignment="1">
      <alignment horizontal="center"/>
    </xf>
    <xf numFmtId="0" fontId="14" fillId="8" borderId="4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4" fontId="0" fillId="8" borderId="4" xfId="0" applyNumberFormat="1" applyFill="1" applyBorder="1" applyAlignment="1">
      <alignment horizontal="center"/>
    </xf>
    <xf numFmtId="172" fontId="0" fillId="8" borderId="4" xfId="0" applyNumberFormat="1" applyFill="1" applyBorder="1"/>
    <xf numFmtId="173" fontId="0" fillId="13" borderId="4" xfId="0" applyNumberFormat="1" applyFill="1" applyBorder="1"/>
    <xf numFmtId="173" fontId="0" fillId="13" borderId="17" xfId="0" applyNumberFormat="1" applyFill="1" applyBorder="1"/>
    <xf numFmtId="173" fontId="0" fillId="7" borderId="4" xfId="0" applyNumberFormat="1" applyFill="1" applyBorder="1"/>
    <xf numFmtId="173" fontId="0" fillId="8" borderId="20" xfId="0" applyNumberFormat="1" applyFill="1" applyBorder="1"/>
  </cellXfs>
  <cellStyles count="8">
    <cellStyle name="Formula" xfId="2"/>
    <cellStyle name="Hyperlink" xfId="5" builtinId="8"/>
    <cellStyle name="Normal" xfId="0" builtinId="0"/>
    <cellStyle name="Normal 2" xfId="7"/>
    <cellStyle name="Normal_TNPM DRAFT Standard Template v0.1c" xfId="6"/>
    <cellStyle name="Note" xfId="1" builtinId="10"/>
    <cellStyle name="Prime" xfId="3"/>
    <cellStyle name="Primedate" xfId="4"/>
  </cellStyles>
  <dxfs count="6"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rgb="FF008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ndense val="0"/>
        <extend val="0"/>
        <color indexed="9"/>
      </font>
      <fill>
        <patternFill>
          <bgColor indexed="5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rgb="FF008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esktop/Modelling%20book_ja/Book1/IPM_Pricing_v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structions &amp; Notes"/>
      <sheetName val="Styles"/>
      <sheetName val="Contents"/>
      <sheetName val="Model Logic"/>
      <sheetName val="Error Checks"/>
      <sheetName val="Constants"/>
      <sheetName val="Timelines"/>
      <sheetName val="Main Input"/>
      <sheetName val="Conversion"/>
      <sheetName val="Capital"/>
      <sheetName val="Cost Plus"/>
      <sheetName val="Customer Charges"/>
      <sheetName val="Profile before CoM"/>
      <sheetName val="CoM"/>
      <sheetName val="Profile with CoM"/>
      <sheetName val="Final Price"/>
      <sheetName val="Service Prices"/>
      <sheetName val="Financial Dashboard"/>
      <sheetName val="Interface"/>
      <sheetName val="Audit"/>
      <sheetName val="Change Control"/>
      <sheetName val="End"/>
    </sheetNames>
    <sheetDataSet>
      <sheetData sheetId="0"/>
      <sheetData sheetId="1"/>
      <sheetData sheetId="2"/>
      <sheetData sheetId="3"/>
      <sheetData sheetId="4"/>
      <sheetData sheetId="5"/>
      <sheetData sheetId="6">
        <row r="104">
          <cell r="E104">
            <v>41729</v>
          </cell>
        </row>
        <row r="106">
          <cell r="E106">
            <v>39539</v>
          </cell>
        </row>
        <row r="109">
          <cell r="E109">
            <v>39722</v>
          </cell>
        </row>
        <row r="589">
          <cell r="E589">
            <v>12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Archive\financial_modeling_Repository.docx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"/>
  <sheetViews>
    <sheetView showGridLines="0" workbookViewId="0">
      <selection activeCell="E4" sqref="E4"/>
    </sheetView>
  </sheetViews>
  <sheetFormatPr defaultColWidth="0" defaultRowHeight="15" customHeight="1" zeroHeight="1" x14ac:dyDescent="0.25"/>
  <cols>
    <col min="1" max="1" width="6.140625" customWidth="1"/>
    <col min="2" max="2" width="10.5703125" customWidth="1"/>
    <col min="3" max="3" width="11.140625" customWidth="1"/>
    <col min="4" max="4" width="11.7109375" customWidth="1"/>
    <col min="5" max="5" width="13.85546875" customWidth="1"/>
    <col min="6" max="6" width="9.140625" customWidth="1"/>
    <col min="7" max="7" width="3.5703125" customWidth="1"/>
    <col min="8" max="16384" width="9.140625" hidden="1"/>
  </cols>
  <sheetData>
    <row r="1" spans="1:6" x14ac:dyDescent="0.25">
      <c r="A1" s="1" t="s">
        <v>0</v>
      </c>
      <c r="B1" s="1"/>
      <c r="C1" s="1"/>
      <c r="D1" s="1"/>
      <c r="E1" s="1"/>
      <c r="F1" s="1"/>
    </row>
    <row r="2" spans="1:6" x14ac:dyDescent="0.25"/>
    <row r="3" spans="1:6" x14ac:dyDescent="0.25">
      <c r="B3" s="2" t="s">
        <v>1</v>
      </c>
      <c r="C3" s="2" t="s">
        <v>2</v>
      </c>
      <c r="D3" s="2" t="s">
        <v>3</v>
      </c>
      <c r="E3" s="2" t="s">
        <v>165</v>
      </c>
    </row>
    <row r="4" spans="1:6" x14ac:dyDescent="0.25">
      <c r="B4" t="s">
        <v>4</v>
      </c>
      <c r="C4">
        <v>24</v>
      </c>
      <c r="D4" s="3">
        <v>23500</v>
      </c>
      <c r="E4" s="3">
        <f>IF(D4&gt;=$B$15,D4*$C$15,D4*$C$14)</f>
        <v>0</v>
      </c>
    </row>
    <row r="5" spans="1:6" x14ac:dyDescent="0.25">
      <c r="B5" t="s">
        <v>5</v>
      </c>
      <c r="C5">
        <v>28</v>
      </c>
      <c r="D5" s="3">
        <v>28500</v>
      </c>
      <c r="E5" s="3">
        <f t="shared" ref="E5:E10" si="0">IF(D5&gt;=$B$15,D5*$C$15,D5*$C$14)</f>
        <v>0</v>
      </c>
    </row>
    <row r="6" spans="1:6" x14ac:dyDescent="0.25">
      <c r="B6" t="s">
        <v>6</v>
      </c>
      <c r="C6">
        <v>33</v>
      </c>
      <c r="D6" s="3">
        <v>29400</v>
      </c>
      <c r="E6" s="3">
        <f t="shared" si="0"/>
        <v>0</v>
      </c>
    </row>
    <row r="7" spans="1:6" x14ac:dyDescent="0.25">
      <c r="B7" t="s">
        <v>7</v>
      </c>
      <c r="C7">
        <v>21</v>
      </c>
      <c r="D7" s="3">
        <v>18900</v>
      </c>
      <c r="E7" s="3">
        <f t="shared" si="0"/>
        <v>0</v>
      </c>
    </row>
    <row r="8" spans="1:6" x14ac:dyDescent="0.25">
      <c r="B8" t="s">
        <v>8</v>
      </c>
      <c r="C8">
        <v>36</v>
      </c>
      <c r="D8" s="3">
        <v>25040</v>
      </c>
      <c r="E8" s="3">
        <f t="shared" si="0"/>
        <v>0</v>
      </c>
    </row>
    <row r="9" spans="1:6" x14ac:dyDescent="0.25">
      <c r="B9" t="s">
        <v>9</v>
      </c>
      <c r="C9">
        <v>41</v>
      </c>
      <c r="D9" s="3">
        <v>41200</v>
      </c>
      <c r="E9" s="3">
        <f t="shared" si="0"/>
        <v>824</v>
      </c>
    </row>
    <row r="10" spans="1:6" x14ac:dyDescent="0.25">
      <c r="B10" t="s">
        <v>10</v>
      </c>
      <c r="C10">
        <v>22</v>
      </c>
      <c r="D10" s="3">
        <v>19800</v>
      </c>
      <c r="E10" s="3">
        <f t="shared" si="0"/>
        <v>0</v>
      </c>
    </row>
    <row r="11" spans="1:6" x14ac:dyDescent="0.25"/>
    <row r="12" spans="1:6" x14ac:dyDescent="0.25">
      <c r="B12" s="4" t="s">
        <v>166</v>
      </c>
    </row>
    <row r="13" spans="1:6" x14ac:dyDescent="0.25">
      <c r="B13" s="2" t="s">
        <v>11</v>
      </c>
      <c r="C13" s="2" t="s">
        <v>12</v>
      </c>
    </row>
    <row r="14" spans="1:6" x14ac:dyDescent="0.25">
      <c r="B14" s="3">
        <v>29000</v>
      </c>
      <c r="C14" s="5">
        <v>0</v>
      </c>
    </row>
    <row r="15" spans="1:6" x14ac:dyDescent="0.25">
      <c r="B15" s="3">
        <v>30000</v>
      </c>
      <c r="C15" s="5">
        <v>0.02</v>
      </c>
    </row>
    <row r="16" spans="1:6" x14ac:dyDescent="0.25"/>
    <row r="17" spans="1:6" x14ac:dyDescent="0.25">
      <c r="A17" s="6" t="s">
        <v>13</v>
      </c>
      <c r="B17" s="6"/>
      <c r="C17" s="6"/>
      <c r="D17" s="6"/>
      <c r="E17" s="6"/>
      <c r="F17" s="6"/>
    </row>
    <row r="18" spans="1:6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5"/>
  <sheetViews>
    <sheetView showGridLines="0" workbookViewId="0">
      <selection activeCell="B10" sqref="A1:XFD1048576"/>
    </sheetView>
  </sheetViews>
  <sheetFormatPr defaultColWidth="0" defaultRowHeight="15" zeroHeight="1" x14ac:dyDescent="0.25"/>
  <cols>
    <col min="1" max="1" width="9.140625" customWidth="1"/>
    <col min="2" max="2" width="10.5703125" customWidth="1"/>
    <col min="3" max="3" width="11.140625" customWidth="1"/>
    <col min="4" max="4" width="11.7109375" customWidth="1"/>
    <col min="5" max="5" width="9.140625" customWidth="1"/>
    <col min="6" max="6" width="4.140625" customWidth="1"/>
    <col min="7" max="13" width="9.140625" customWidth="1"/>
    <col min="14" max="14" width="4.28515625" customWidth="1"/>
    <col min="15" max="15" width="3.7109375" customWidth="1"/>
    <col min="16" max="16384" width="9.140625" hidden="1"/>
  </cols>
  <sheetData>
    <row r="1" spans="1:14" x14ac:dyDescent="0.25">
      <c r="A1" s="1" t="s">
        <v>15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/>
    <row r="3" spans="1:14" x14ac:dyDescent="0.25">
      <c r="B3" s="2" t="s">
        <v>1</v>
      </c>
      <c r="C3" s="2" t="s">
        <v>2</v>
      </c>
      <c r="D3" s="2" t="s">
        <v>3</v>
      </c>
    </row>
    <row r="4" spans="1:14" x14ac:dyDescent="0.25">
      <c r="B4" t="s">
        <v>4</v>
      </c>
      <c r="C4">
        <v>24</v>
      </c>
      <c r="D4" s="3">
        <v>23500</v>
      </c>
    </row>
    <row r="5" spans="1:14" x14ac:dyDescent="0.25">
      <c r="B5" t="s">
        <v>5</v>
      </c>
      <c r="C5">
        <v>28</v>
      </c>
      <c r="D5" s="3">
        <v>28500</v>
      </c>
    </row>
    <row r="6" spans="1:14" x14ac:dyDescent="0.25">
      <c r="B6" t="s">
        <v>6</v>
      </c>
      <c r="C6">
        <v>33</v>
      </c>
      <c r="D6" s="3">
        <v>29400</v>
      </c>
    </row>
    <row r="7" spans="1:14" x14ac:dyDescent="0.25">
      <c r="B7" t="s">
        <v>7</v>
      </c>
      <c r="C7">
        <v>21</v>
      </c>
      <c r="D7" s="3">
        <v>18900</v>
      </c>
    </row>
    <row r="8" spans="1:14" x14ac:dyDescent="0.25">
      <c r="B8" t="s">
        <v>8</v>
      </c>
      <c r="C8">
        <v>36</v>
      </c>
      <c r="D8" s="3">
        <v>25040</v>
      </c>
    </row>
    <row r="9" spans="1:14" x14ac:dyDescent="0.25">
      <c r="B9" t="s">
        <v>9</v>
      </c>
      <c r="C9">
        <v>41</v>
      </c>
      <c r="D9" s="3">
        <v>41200</v>
      </c>
    </row>
    <row r="10" spans="1:14" x14ac:dyDescent="0.25">
      <c r="B10" t="s">
        <v>10</v>
      </c>
      <c r="C10">
        <v>22</v>
      </c>
      <c r="D10" s="3">
        <v>19800</v>
      </c>
    </row>
    <row r="11" spans="1:14" x14ac:dyDescent="0.25"/>
    <row r="12" spans="1:14" x14ac:dyDescent="0.25">
      <c r="B12" t="s">
        <v>14</v>
      </c>
    </row>
    <row r="13" spans="1:14" x14ac:dyDescent="0.25">
      <c r="B13">
        <f>IF(C4&gt;40,1,IF(C5&gt;40,1,IF(C6&gt;40,1,IF(C7&gt;40,1,IF(C8&gt;40,1,IF(C9&gt;40,1,IF(C10&gt;40,1,0)))))))</f>
        <v>1</v>
      </c>
    </row>
    <row r="14" spans="1:14" x14ac:dyDescent="0.25">
      <c r="A14" s="6" t="s">
        <v>13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1:14" x14ac:dyDescent="0.25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6"/>
  <sheetViews>
    <sheetView showGridLines="0" workbookViewId="0">
      <selection activeCell="B10" sqref="A1:XFD1048576"/>
    </sheetView>
  </sheetViews>
  <sheetFormatPr defaultColWidth="0" defaultRowHeight="15" zeroHeight="1" x14ac:dyDescent="0.25"/>
  <cols>
    <col min="1" max="1" width="9.140625" customWidth="1"/>
    <col min="2" max="2" width="10.5703125" customWidth="1"/>
    <col min="3" max="3" width="11.140625" customWidth="1"/>
    <col min="4" max="4" width="11.7109375" customWidth="1"/>
    <col min="5" max="7" width="9.140625" customWidth="1"/>
    <col min="8" max="8" width="2.85546875" customWidth="1"/>
    <col min="9" max="16384" width="9.140625" hidden="1"/>
  </cols>
  <sheetData>
    <row r="1" spans="1:7" x14ac:dyDescent="0.25">
      <c r="A1" s="1" t="s">
        <v>15</v>
      </c>
      <c r="B1" s="1"/>
      <c r="C1" s="1"/>
      <c r="D1" s="1"/>
      <c r="E1" s="1"/>
      <c r="F1" s="1"/>
      <c r="G1" s="1"/>
    </row>
    <row r="2" spans="1:7" x14ac:dyDescent="0.25"/>
    <row r="3" spans="1:7" x14ac:dyDescent="0.25">
      <c r="B3" s="2" t="s">
        <v>1</v>
      </c>
      <c r="C3" s="2" t="s">
        <v>2</v>
      </c>
      <c r="D3" s="2" t="s">
        <v>3</v>
      </c>
      <c r="E3" s="2" t="s">
        <v>16</v>
      </c>
    </row>
    <row r="4" spans="1:7" x14ac:dyDescent="0.25">
      <c r="B4" t="s">
        <v>4</v>
      </c>
      <c r="C4">
        <v>24</v>
      </c>
      <c r="D4" s="3">
        <v>23500</v>
      </c>
      <c r="E4" s="3">
        <f>IF(C4&gt;40,1,0)</f>
        <v>0</v>
      </c>
    </row>
    <row r="5" spans="1:7" x14ac:dyDescent="0.25">
      <c r="B5" t="s">
        <v>5</v>
      </c>
      <c r="C5">
        <v>28</v>
      </c>
      <c r="D5" s="3">
        <v>28500</v>
      </c>
      <c r="E5" s="3">
        <f t="shared" ref="E5:E10" si="0">IF(C5&gt;40,1,0)</f>
        <v>0</v>
      </c>
    </row>
    <row r="6" spans="1:7" x14ac:dyDescent="0.25">
      <c r="B6" t="s">
        <v>6</v>
      </c>
      <c r="C6">
        <v>33</v>
      </c>
      <c r="D6" s="3">
        <v>29400</v>
      </c>
      <c r="E6" s="3">
        <f t="shared" si="0"/>
        <v>0</v>
      </c>
    </row>
    <row r="7" spans="1:7" x14ac:dyDescent="0.25">
      <c r="B7" t="s">
        <v>7</v>
      </c>
      <c r="C7">
        <v>21</v>
      </c>
      <c r="D7" s="3">
        <v>18900</v>
      </c>
      <c r="E7" s="3">
        <f t="shared" si="0"/>
        <v>0</v>
      </c>
    </row>
    <row r="8" spans="1:7" x14ac:dyDescent="0.25">
      <c r="B8" t="s">
        <v>8</v>
      </c>
      <c r="C8">
        <v>36</v>
      </c>
      <c r="D8" s="3">
        <v>25040</v>
      </c>
      <c r="E8" s="3">
        <f t="shared" si="0"/>
        <v>0</v>
      </c>
    </row>
    <row r="9" spans="1:7" x14ac:dyDescent="0.25">
      <c r="B9" t="s">
        <v>9</v>
      </c>
      <c r="C9">
        <v>41</v>
      </c>
      <c r="D9" s="3">
        <v>41200</v>
      </c>
      <c r="E9" s="3">
        <f t="shared" si="0"/>
        <v>1</v>
      </c>
    </row>
    <row r="10" spans="1:7" x14ac:dyDescent="0.25">
      <c r="B10" t="s">
        <v>10</v>
      </c>
      <c r="C10">
        <v>22</v>
      </c>
      <c r="D10" s="3">
        <v>19800</v>
      </c>
      <c r="E10" s="3">
        <f t="shared" si="0"/>
        <v>0</v>
      </c>
    </row>
    <row r="11" spans="1:7" x14ac:dyDescent="0.25">
      <c r="B11" s="7" t="s">
        <v>17</v>
      </c>
      <c r="C11" s="8"/>
      <c r="D11" s="9"/>
      <c r="E11" s="10">
        <f>SUM(E4:E10)</f>
        <v>1</v>
      </c>
    </row>
    <row r="12" spans="1:7" x14ac:dyDescent="0.25"/>
    <row r="13" spans="1:7" x14ac:dyDescent="0.25">
      <c r="B13" t="s">
        <v>14</v>
      </c>
    </row>
    <row r="14" spans="1:7" x14ac:dyDescent="0.25">
      <c r="B14">
        <f>IF(C4&gt;40,1,IF(C5&gt;40,1,IF(C6&gt;40,1,IF(C7&gt;40,1,IF(C8&gt;40,1,IF(C9&gt;40,1,IF(C10&gt;40,1,0)))))))</f>
        <v>1</v>
      </c>
    </row>
    <row r="15" spans="1:7" x14ac:dyDescent="0.25">
      <c r="A15" s="6" t="s">
        <v>13</v>
      </c>
      <c r="B15" s="6"/>
      <c r="C15" s="6"/>
      <c r="D15" s="6"/>
      <c r="E15" s="6"/>
      <c r="F15" s="6"/>
      <c r="G15" s="6"/>
    </row>
    <row r="16" spans="1:7" x14ac:dyDescent="0.25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9"/>
  <sheetViews>
    <sheetView showGridLines="0" workbookViewId="0">
      <selection activeCell="E16" sqref="E16"/>
    </sheetView>
  </sheetViews>
  <sheetFormatPr defaultColWidth="0" defaultRowHeight="15" zeroHeight="1" x14ac:dyDescent="0.25"/>
  <cols>
    <col min="1" max="1" width="9.140625" customWidth="1"/>
    <col min="2" max="2" width="10.5703125" customWidth="1"/>
    <col min="3" max="3" width="11.140625" customWidth="1"/>
    <col min="4" max="4" width="11.7109375" customWidth="1"/>
    <col min="5" max="7" width="9.140625" customWidth="1"/>
    <col min="8" max="8" width="3" customWidth="1"/>
    <col min="9" max="16384" width="9.140625" hidden="1"/>
  </cols>
  <sheetData>
    <row r="1" spans="1:7" x14ac:dyDescent="0.25">
      <c r="A1" s="1" t="s">
        <v>21</v>
      </c>
      <c r="B1" s="1"/>
      <c r="C1" s="1"/>
      <c r="D1" s="1"/>
      <c r="E1" s="1"/>
      <c r="F1" s="1"/>
      <c r="G1" s="1"/>
    </row>
    <row r="2" spans="1:7" x14ac:dyDescent="0.25"/>
    <row r="3" spans="1:7" x14ac:dyDescent="0.25">
      <c r="B3" s="2" t="s">
        <v>1</v>
      </c>
      <c r="C3" s="2" t="s">
        <v>2</v>
      </c>
      <c r="D3" s="2" t="s">
        <v>3</v>
      </c>
    </row>
    <row r="4" spans="1:7" x14ac:dyDescent="0.25">
      <c r="B4" t="s">
        <v>4</v>
      </c>
      <c r="C4">
        <v>24</v>
      </c>
      <c r="D4" s="3">
        <v>23500</v>
      </c>
    </row>
    <row r="5" spans="1:7" x14ac:dyDescent="0.25">
      <c r="B5" t="s">
        <v>5</v>
      </c>
      <c r="C5">
        <v>28</v>
      </c>
      <c r="D5" s="3">
        <v>28500</v>
      </c>
    </row>
    <row r="6" spans="1:7" x14ac:dyDescent="0.25">
      <c r="B6" t="s">
        <v>6</v>
      </c>
      <c r="C6">
        <v>33</v>
      </c>
      <c r="D6" s="3">
        <v>29400</v>
      </c>
    </row>
    <row r="7" spans="1:7" x14ac:dyDescent="0.25">
      <c r="B7" t="s">
        <v>7</v>
      </c>
      <c r="C7">
        <v>21</v>
      </c>
      <c r="D7" s="3">
        <v>18900</v>
      </c>
    </row>
    <row r="8" spans="1:7" x14ac:dyDescent="0.25">
      <c r="B8" t="s">
        <v>8</v>
      </c>
      <c r="C8">
        <v>36</v>
      </c>
      <c r="D8" s="3">
        <v>25040</v>
      </c>
    </row>
    <row r="9" spans="1:7" x14ac:dyDescent="0.25">
      <c r="B9" t="s">
        <v>9</v>
      </c>
      <c r="C9">
        <v>41</v>
      </c>
      <c r="D9" s="3">
        <v>41200</v>
      </c>
    </row>
    <row r="10" spans="1:7" x14ac:dyDescent="0.25">
      <c r="B10" t="s">
        <v>10</v>
      </c>
      <c r="C10">
        <v>22</v>
      </c>
      <c r="D10" s="3">
        <v>19800</v>
      </c>
    </row>
    <row r="11" spans="1:7" x14ac:dyDescent="0.25">
      <c r="B11" s="7" t="s">
        <v>17</v>
      </c>
      <c r="C11" s="8"/>
      <c r="D11" s="9"/>
    </row>
    <row r="12" spans="1:7" x14ac:dyDescent="0.25"/>
    <row r="13" spans="1:7" x14ac:dyDescent="0.25">
      <c r="D13" s="11" t="s">
        <v>18</v>
      </c>
      <c r="E13" s="12" t="s">
        <v>19</v>
      </c>
    </row>
    <row r="14" spans="1:7" x14ac:dyDescent="0.25"/>
    <row r="15" spans="1:7" x14ac:dyDescent="0.25">
      <c r="D15" s="11" t="s">
        <v>20</v>
      </c>
    </row>
    <row r="16" spans="1:7" x14ac:dyDescent="0.25">
      <c r="B16" t="s">
        <v>189</v>
      </c>
      <c r="E16" s="13">
        <f>SUMIF(C4:C10,E13,D4:D10)</f>
        <v>95640</v>
      </c>
    </row>
    <row r="17" spans="1:7" x14ac:dyDescent="0.25"/>
    <row r="18" spans="1:7" x14ac:dyDescent="0.25">
      <c r="A18" s="6" t="s">
        <v>13</v>
      </c>
      <c r="B18" s="6"/>
      <c r="C18" s="6"/>
      <c r="D18" s="6"/>
      <c r="E18" s="6"/>
      <c r="F18" s="6"/>
      <c r="G18" s="6"/>
    </row>
    <row r="19" spans="1:7" x14ac:dyDescent="0.25"/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showGridLines="0" workbookViewId="0">
      <selection activeCell="E16" sqref="E16"/>
    </sheetView>
  </sheetViews>
  <sheetFormatPr defaultColWidth="0" defaultRowHeight="15" zeroHeight="1" x14ac:dyDescent="0.25"/>
  <cols>
    <col min="1" max="1" width="9.140625" customWidth="1"/>
    <col min="2" max="2" width="10.5703125" customWidth="1"/>
    <col min="3" max="3" width="11.140625" customWidth="1"/>
    <col min="4" max="4" width="11.7109375" customWidth="1"/>
    <col min="5" max="6" width="9.140625" customWidth="1"/>
    <col min="7" max="7" width="4.140625" customWidth="1"/>
    <col min="8" max="16384" width="9.140625" hidden="1"/>
  </cols>
  <sheetData>
    <row r="1" spans="1:6" x14ac:dyDescent="0.25">
      <c r="A1" s="1" t="s">
        <v>21</v>
      </c>
      <c r="B1" s="1"/>
      <c r="C1" s="1"/>
      <c r="D1" s="1"/>
      <c r="E1" s="1"/>
      <c r="F1" s="1"/>
    </row>
    <row r="2" spans="1:6" x14ac:dyDescent="0.25"/>
    <row r="3" spans="1:6" x14ac:dyDescent="0.25">
      <c r="B3" s="2" t="s">
        <v>1</v>
      </c>
      <c r="C3" s="2" t="s">
        <v>2</v>
      </c>
      <c r="D3" s="2" t="s">
        <v>3</v>
      </c>
    </row>
    <row r="4" spans="1:6" x14ac:dyDescent="0.25">
      <c r="B4" t="s">
        <v>4</v>
      </c>
      <c r="C4">
        <v>24</v>
      </c>
      <c r="D4" s="3">
        <v>23500</v>
      </c>
    </row>
    <row r="5" spans="1:6" x14ac:dyDescent="0.25">
      <c r="B5" t="s">
        <v>5</v>
      </c>
      <c r="C5">
        <v>28</v>
      </c>
      <c r="D5" s="3">
        <v>28500</v>
      </c>
    </row>
    <row r="6" spans="1:6" x14ac:dyDescent="0.25">
      <c r="B6" t="s">
        <v>6</v>
      </c>
      <c r="C6">
        <v>33</v>
      </c>
      <c r="D6" s="3">
        <v>29400</v>
      </c>
    </row>
    <row r="7" spans="1:6" x14ac:dyDescent="0.25">
      <c r="B7" t="s">
        <v>7</v>
      </c>
      <c r="C7">
        <v>21</v>
      </c>
      <c r="D7" s="3">
        <v>18900</v>
      </c>
    </row>
    <row r="8" spans="1:6" x14ac:dyDescent="0.25">
      <c r="B8" t="s">
        <v>8</v>
      </c>
      <c r="C8">
        <v>36</v>
      </c>
      <c r="D8" s="3">
        <v>25040</v>
      </c>
    </row>
    <row r="9" spans="1:6" x14ac:dyDescent="0.25">
      <c r="B9" t="s">
        <v>9</v>
      </c>
      <c r="C9">
        <v>41</v>
      </c>
      <c r="D9" s="3">
        <v>41200</v>
      </c>
    </row>
    <row r="10" spans="1:6" x14ac:dyDescent="0.25">
      <c r="B10" t="s">
        <v>10</v>
      </c>
      <c r="C10">
        <v>22</v>
      </c>
      <c r="D10" s="3">
        <v>19800</v>
      </c>
    </row>
    <row r="11" spans="1:6" x14ac:dyDescent="0.25">
      <c r="B11" s="7" t="s">
        <v>17</v>
      </c>
      <c r="C11" s="8"/>
      <c r="D11" s="9"/>
    </row>
    <row r="12" spans="1:6" x14ac:dyDescent="0.25"/>
    <row r="13" spans="1:6" x14ac:dyDescent="0.25">
      <c r="D13" s="11" t="s">
        <v>18</v>
      </c>
      <c r="E13" s="12" t="s">
        <v>19</v>
      </c>
    </row>
    <row r="14" spans="1:6" x14ac:dyDescent="0.25"/>
    <row r="15" spans="1:6" x14ac:dyDescent="0.25">
      <c r="D15" s="11" t="s">
        <v>20</v>
      </c>
    </row>
    <row r="16" spans="1:6" x14ac:dyDescent="0.25">
      <c r="B16" t="s">
        <v>189</v>
      </c>
      <c r="E16" s="13">
        <f>SUMIF(C4:C8,E13,D4:D10)</f>
        <v>54440</v>
      </c>
    </row>
    <row r="17" spans="1:6" x14ac:dyDescent="0.25"/>
    <row r="18" spans="1:6" x14ac:dyDescent="0.25">
      <c r="A18" s="6" t="s">
        <v>13</v>
      </c>
      <c r="B18" s="6"/>
      <c r="C18" s="6"/>
      <c r="D18" s="6"/>
      <c r="E18" s="6"/>
      <c r="F18" s="6"/>
    </row>
    <row r="19" spans="1:6" x14ac:dyDescent="0.25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9"/>
  <sheetViews>
    <sheetView showGridLines="0" workbookViewId="0">
      <selection activeCell="E16" sqref="E16"/>
    </sheetView>
  </sheetViews>
  <sheetFormatPr defaultColWidth="0" defaultRowHeight="15" zeroHeight="1" x14ac:dyDescent="0.25"/>
  <cols>
    <col min="1" max="1" width="9.140625" customWidth="1"/>
    <col min="2" max="2" width="10.5703125" customWidth="1"/>
    <col min="3" max="3" width="11.140625" customWidth="1"/>
    <col min="4" max="4" width="11.7109375" customWidth="1"/>
    <col min="5" max="6" width="9.140625" customWidth="1"/>
    <col min="7" max="7" width="3.7109375" customWidth="1"/>
    <col min="8" max="16384" width="9.140625" hidden="1"/>
  </cols>
  <sheetData>
    <row r="1" spans="1:6" x14ac:dyDescent="0.25">
      <c r="A1" s="1" t="s">
        <v>22</v>
      </c>
      <c r="B1" s="1"/>
      <c r="C1" s="1"/>
      <c r="D1" s="1"/>
      <c r="E1" s="1"/>
      <c r="F1" s="1"/>
    </row>
    <row r="2" spans="1:6" x14ac:dyDescent="0.25"/>
    <row r="3" spans="1:6" x14ac:dyDescent="0.25">
      <c r="B3" s="2" t="s">
        <v>1</v>
      </c>
      <c r="C3" s="2" t="s">
        <v>2</v>
      </c>
      <c r="D3" s="2" t="s">
        <v>3</v>
      </c>
    </row>
    <row r="4" spans="1:6" x14ac:dyDescent="0.25">
      <c r="B4" t="s">
        <v>4</v>
      </c>
      <c r="C4">
        <v>24</v>
      </c>
      <c r="D4" s="3">
        <v>23500</v>
      </c>
    </row>
    <row r="5" spans="1:6" x14ac:dyDescent="0.25">
      <c r="B5" t="s">
        <v>5</v>
      </c>
      <c r="C5">
        <v>28</v>
      </c>
      <c r="D5" s="3">
        <v>28500</v>
      </c>
    </row>
    <row r="6" spans="1:6" x14ac:dyDescent="0.25">
      <c r="B6" t="s">
        <v>6</v>
      </c>
      <c r="C6">
        <v>33</v>
      </c>
      <c r="D6" s="3">
        <v>29400</v>
      </c>
    </row>
    <row r="7" spans="1:6" x14ac:dyDescent="0.25">
      <c r="B7" t="s">
        <v>7</v>
      </c>
      <c r="C7">
        <v>21</v>
      </c>
      <c r="D7" s="3">
        <v>18900</v>
      </c>
    </row>
    <row r="8" spans="1:6" x14ac:dyDescent="0.25">
      <c r="B8" t="s">
        <v>8</v>
      </c>
      <c r="C8">
        <v>36</v>
      </c>
      <c r="D8" s="3">
        <v>25040</v>
      </c>
    </row>
    <row r="9" spans="1:6" x14ac:dyDescent="0.25">
      <c r="B9" t="s">
        <v>9</v>
      </c>
      <c r="C9">
        <v>41</v>
      </c>
      <c r="D9" s="3">
        <v>41200</v>
      </c>
    </row>
    <row r="10" spans="1:6" x14ac:dyDescent="0.25">
      <c r="B10" t="s">
        <v>10</v>
      </c>
      <c r="C10">
        <v>22</v>
      </c>
      <c r="D10" s="3">
        <v>19800</v>
      </c>
    </row>
    <row r="11" spans="1:6" x14ac:dyDescent="0.25">
      <c r="B11" s="7" t="s">
        <v>17</v>
      </c>
      <c r="C11" s="8"/>
      <c r="D11" s="9"/>
    </row>
    <row r="12" spans="1:6" x14ac:dyDescent="0.25"/>
    <row r="13" spans="1:6" x14ac:dyDescent="0.25">
      <c r="D13" s="11" t="s">
        <v>18</v>
      </c>
      <c r="E13" s="12" t="s">
        <v>19</v>
      </c>
    </row>
    <row r="14" spans="1:6" x14ac:dyDescent="0.25"/>
    <row r="15" spans="1:6" x14ac:dyDescent="0.25">
      <c r="D15" s="11" t="s">
        <v>20</v>
      </c>
    </row>
    <row r="16" spans="1:6" x14ac:dyDescent="0.25">
      <c r="B16" t="s">
        <v>190</v>
      </c>
      <c r="E16" s="13">
        <f>COUNTIF(C4:C10,E13)</f>
        <v>3</v>
      </c>
    </row>
    <row r="17" spans="1:6" x14ac:dyDescent="0.25"/>
    <row r="18" spans="1:6" x14ac:dyDescent="0.25">
      <c r="A18" s="6" t="s">
        <v>13</v>
      </c>
      <c r="B18" s="6"/>
      <c r="C18" s="6"/>
      <c r="D18" s="6"/>
      <c r="E18" s="6"/>
      <c r="F18" s="6"/>
    </row>
    <row r="19" spans="1:6" x14ac:dyDescent="0.25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9"/>
  <sheetViews>
    <sheetView showGridLines="0" workbookViewId="0">
      <selection activeCell="E16" sqref="E16"/>
    </sheetView>
  </sheetViews>
  <sheetFormatPr defaultColWidth="0" defaultRowHeight="15" zeroHeight="1" x14ac:dyDescent="0.25"/>
  <cols>
    <col min="1" max="1" width="9.140625" customWidth="1"/>
    <col min="2" max="2" width="10.5703125" customWidth="1"/>
    <col min="3" max="3" width="11.140625" customWidth="1"/>
    <col min="4" max="4" width="11.7109375" customWidth="1"/>
    <col min="5" max="6" width="9.140625" customWidth="1"/>
    <col min="7" max="7" width="3.85546875" customWidth="1"/>
    <col min="8" max="16384" width="9.140625" hidden="1"/>
  </cols>
  <sheetData>
    <row r="1" spans="1:6" x14ac:dyDescent="0.25">
      <c r="A1" s="1" t="s">
        <v>23</v>
      </c>
      <c r="B1" s="1"/>
      <c r="C1" s="1"/>
      <c r="D1" s="1"/>
      <c r="E1" s="1"/>
      <c r="F1" s="1"/>
    </row>
    <row r="2" spans="1:6" x14ac:dyDescent="0.25"/>
    <row r="3" spans="1:6" x14ac:dyDescent="0.25">
      <c r="B3" s="2" t="s">
        <v>1</v>
      </c>
      <c r="C3" s="2" t="s">
        <v>2</v>
      </c>
      <c r="D3" s="2" t="s">
        <v>3</v>
      </c>
    </row>
    <row r="4" spans="1:6" x14ac:dyDescent="0.25">
      <c r="B4" t="s">
        <v>4</v>
      </c>
      <c r="C4">
        <v>24</v>
      </c>
      <c r="D4" s="3">
        <v>23500</v>
      </c>
    </row>
    <row r="5" spans="1:6" x14ac:dyDescent="0.25">
      <c r="B5" t="s">
        <v>5</v>
      </c>
      <c r="C5">
        <v>28</v>
      </c>
      <c r="D5" s="3">
        <v>28500</v>
      </c>
    </row>
    <row r="6" spans="1:6" x14ac:dyDescent="0.25">
      <c r="B6" t="s">
        <v>6</v>
      </c>
      <c r="C6">
        <v>33</v>
      </c>
      <c r="D6" s="3">
        <v>29400</v>
      </c>
    </row>
    <row r="7" spans="1:6" x14ac:dyDescent="0.25">
      <c r="B7" t="s">
        <v>7</v>
      </c>
      <c r="C7">
        <v>21</v>
      </c>
      <c r="D7" s="3">
        <v>18900</v>
      </c>
    </row>
    <row r="8" spans="1:6" x14ac:dyDescent="0.25">
      <c r="B8" t="s">
        <v>8</v>
      </c>
      <c r="C8">
        <v>36</v>
      </c>
      <c r="D8" s="3">
        <v>25040</v>
      </c>
    </row>
    <row r="9" spans="1:6" x14ac:dyDescent="0.25">
      <c r="B9" t="s">
        <v>9</v>
      </c>
      <c r="C9">
        <v>41</v>
      </c>
      <c r="D9" s="3">
        <v>41200</v>
      </c>
    </row>
    <row r="10" spans="1:6" x14ac:dyDescent="0.25">
      <c r="B10" t="s">
        <v>10</v>
      </c>
      <c r="C10">
        <v>22</v>
      </c>
      <c r="D10" s="3">
        <v>19800</v>
      </c>
    </row>
    <row r="11" spans="1:6" x14ac:dyDescent="0.25">
      <c r="B11" s="7" t="s">
        <v>17</v>
      </c>
      <c r="C11" s="8"/>
      <c r="D11" s="9"/>
      <c r="F11" s="3"/>
    </row>
    <row r="12" spans="1:6" x14ac:dyDescent="0.25"/>
    <row r="13" spans="1:6" x14ac:dyDescent="0.25">
      <c r="D13" s="11" t="s">
        <v>18</v>
      </c>
      <c r="E13" s="12" t="s">
        <v>19</v>
      </c>
    </row>
    <row r="14" spans="1:6" x14ac:dyDescent="0.25"/>
    <row r="15" spans="1:6" x14ac:dyDescent="0.25">
      <c r="D15" s="11" t="s">
        <v>20</v>
      </c>
    </row>
    <row r="16" spans="1:6" x14ac:dyDescent="0.25">
      <c r="B16" t="s">
        <v>189</v>
      </c>
      <c r="E16" s="13">
        <f>AVERAGEIF(C4:C10,E13,D4:D10)</f>
        <v>31880</v>
      </c>
    </row>
    <row r="17" spans="1:6" x14ac:dyDescent="0.25"/>
    <row r="18" spans="1:6" x14ac:dyDescent="0.25">
      <c r="A18" s="6" t="s">
        <v>13</v>
      </c>
      <c r="B18" s="6"/>
      <c r="C18" s="6"/>
      <c r="D18" s="6"/>
      <c r="E18" s="6"/>
      <c r="F18" s="6"/>
    </row>
    <row r="19" spans="1:6" x14ac:dyDescent="0.25"/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0"/>
  <sheetViews>
    <sheetView showGridLines="0" workbookViewId="0">
      <selection activeCell="E17" sqref="E17"/>
    </sheetView>
  </sheetViews>
  <sheetFormatPr defaultColWidth="0" defaultRowHeight="15" zeroHeight="1" x14ac:dyDescent="0.25"/>
  <cols>
    <col min="1" max="1" width="9.140625" customWidth="1"/>
    <col min="2" max="2" width="10.5703125" customWidth="1"/>
    <col min="3" max="3" width="11.140625" customWidth="1"/>
    <col min="4" max="4" width="11.7109375" customWidth="1"/>
    <col min="5" max="6" width="9.140625" customWidth="1"/>
    <col min="7" max="7" width="3" customWidth="1"/>
    <col min="8" max="8" width="6.140625" customWidth="1"/>
    <col min="9" max="16384" width="9.140625" hidden="1"/>
  </cols>
  <sheetData>
    <row r="1" spans="1:6" x14ac:dyDescent="0.25">
      <c r="A1" s="1" t="s">
        <v>24</v>
      </c>
      <c r="B1" s="1"/>
      <c r="C1" s="1"/>
      <c r="D1" s="1"/>
      <c r="E1" s="1"/>
      <c r="F1" s="1"/>
    </row>
    <row r="2" spans="1:6" x14ac:dyDescent="0.25"/>
    <row r="3" spans="1:6" x14ac:dyDescent="0.25">
      <c r="B3" s="2" t="s">
        <v>1</v>
      </c>
      <c r="C3" s="2" t="s">
        <v>2</v>
      </c>
      <c r="D3" s="2" t="s">
        <v>3</v>
      </c>
    </row>
    <row r="4" spans="1:6" x14ac:dyDescent="0.25">
      <c r="B4" t="s">
        <v>4</v>
      </c>
      <c r="C4">
        <v>24</v>
      </c>
      <c r="D4" s="3">
        <v>23500</v>
      </c>
    </row>
    <row r="5" spans="1:6" x14ac:dyDescent="0.25">
      <c r="B5" t="s">
        <v>5</v>
      </c>
      <c r="C5">
        <v>28</v>
      </c>
      <c r="D5" s="3">
        <v>28500</v>
      </c>
    </row>
    <row r="6" spans="1:6" x14ac:dyDescent="0.25">
      <c r="B6" t="s">
        <v>6</v>
      </c>
      <c r="C6">
        <v>33</v>
      </c>
      <c r="D6" s="3">
        <v>29400</v>
      </c>
    </row>
    <row r="7" spans="1:6" x14ac:dyDescent="0.25">
      <c r="B7" t="s">
        <v>7</v>
      </c>
      <c r="C7">
        <v>21</v>
      </c>
      <c r="D7" s="3">
        <v>18900</v>
      </c>
    </row>
    <row r="8" spans="1:6" x14ac:dyDescent="0.25">
      <c r="B8" t="s">
        <v>8</v>
      </c>
      <c r="C8">
        <v>36</v>
      </c>
      <c r="D8" s="3">
        <v>25040</v>
      </c>
    </row>
    <row r="9" spans="1:6" x14ac:dyDescent="0.25">
      <c r="B9" t="s">
        <v>9</v>
      </c>
      <c r="C9">
        <v>41</v>
      </c>
      <c r="D9" s="3">
        <v>41200</v>
      </c>
    </row>
    <row r="10" spans="1:6" x14ac:dyDescent="0.25">
      <c r="B10" t="s">
        <v>10</v>
      </c>
      <c r="C10">
        <v>22</v>
      </c>
      <c r="D10" s="3">
        <v>19800</v>
      </c>
    </row>
    <row r="11" spans="1:6" x14ac:dyDescent="0.25">
      <c r="B11" s="7" t="s">
        <v>17</v>
      </c>
      <c r="C11" s="8"/>
      <c r="D11" s="9"/>
    </row>
    <row r="12" spans="1:6" x14ac:dyDescent="0.25"/>
    <row r="13" spans="1:6" x14ac:dyDescent="0.25">
      <c r="B13" s="11" t="s">
        <v>1</v>
      </c>
      <c r="C13" s="11" t="s">
        <v>2</v>
      </c>
    </row>
    <row r="14" spans="1:6" x14ac:dyDescent="0.25">
      <c r="B14" s="12" t="s">
        <v>6</v>
      </c>
      <c r="C14" s="12" t="s">
        <v>19</v>
      </c>
    </row>
    <row r="15" spans="1:6" x14ac:dyDescent="0.25"/>
    <row r="16" spans="1:6" x14ac:dyDescent="0.25"/>
    <row r="17" spans="1:6" x14ac:dyDescent="0.25">
      <c r="B17" t="str">
        <f>"What are the total sales for "&amp;B14</f>
        <v>What are the total sales for Rufus</v>
      </c>
      <c r="E17" s="14">
        <f>SUMIFS(D4:D10,B4:B10,B14,C4:C10,C14)</f>
        <v>29400</v>
      </c>
    </row>
    <row r="18" spans="1:6" x14ac:dyDescent="0.25"/>
    <row r="19" spans="1:6" x14ac:dyDescent="0.25">
      <c r="A19" s="6" t="s">
        <v>13</v>
      </c>
      <c r="B19" s="6"/>
      <c r="C19" s="6"/>
      <c r="D19" s="6"/>
      <c r="E19" s="6"/>
      <c r="F19" s="6"/>
    </row>
    <row r="20" spans="1:6" x14ac:dyDescent="0.25"/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8"/>
  <sheetViews>
    <sheetView showGridLines="0" topLeftCell="A4" workbookViewId="0">
      <selection activeCell="E7" sqref="E7"/>
    </sheetView>
  </sheetViews>
  <sheetFormatPr defaultColWidth="0" defaultRowHeight="15" customHeight="1" zeroHeight="1" x14ac:dyDescent="0.25"/>
  <cols>
    <col min="1" max="1" width="3.28515625" customWidth="1"/>
    <col min="2" max="9" width="9.140625" customWidth="1"/>
    <col min="10" max="10" width="3.5703125" customWidth="1"/>
    <col min="11" max="12" width="0" hidden="1" customWidth="1"/>
    <col min="13" max="16384" width="9.140625" hidden="1"/>
  </cols>
  <sheetData>
    <row r="1" spans="1:9" x14ac:dyDescent="0.25"/>
    <row r="2" spans="1:9" x14ac:dyDescent="0.25">
      <c r="B2" s="27" t="s">
        <v>40</v>
      </c>
    </row>
    <row r="3" spans="1:9" x14ac:dyDescent="0.25"/>
    <row r="4" spans="1:9" x14ac:dyDescent="0.25">
      <c r="A4" s="1" t="s">
        <v>38</v>
      </c>
      <c r="B4" s="1"/>
      <c r="C4" s="1"/>
      <c r="D4" s="1"/>
      <c r="E4" s="1"/>
      <c r="F4" s="1"/>
      <c r="G4" s="1"/>
      <c r="H4" s="1"/>
      <c r="I4" s="1"/>
    </row>
    <row r="5" spans="1:9" x14ac:dyDescent="0.25"/>
    <row r="6" spans="1:9" x14ac:dyDescent="0.25">
      <c r="B6" s="27" t="s">
        <v>41</v>
      </c>
      <c r="H6" s="28" t="s">
        <v>1</v>
      </c>
      <c r="I6" s="28" t="s">
        <v>3</v>
      </c>
    </row>
    <row r="7" spans="1:9" x14ac:dyDescent="0.25">
      <c r="B7" s="29" t="s">
        <v>44</v>
      </c>
      <c r="E7" s="23" t="s">
        <v>45</v>
      </c>
      <c r="H7" s="23" t="s">
        <v>46</v>
      </c>
      <c r="I7" s="13">
        <v>41200</v>
      </c>
    </row>
    <row r="8" spans="1:9" x14ac:dyDescent="0.25">
      <c r="H8" s="23" t="s">
        <v>45</v>
      </c>
      <c r="I8" s="13">
        <v>75900</v>
      </c>
    </row>
    <row r="9" spans="1:9" x14ac:dyDescent="0.25">
      <c r="B9" s="27" t="s">
        <v>47</v>
      </c>
      <c r="H9" s="23" t="s">
        <v>48</v>
      </c>
      <c r="I9" s="13">
        <v>42000</v>
      </c>
    </row>
    <row r="10" spans="1:9" x14ac:dyDescent="0.25">
      <c r="B10" t="str">
        <f>"The salary of "&amp;E7&amp;" is"</f>
        <v>The salary of Mary is</v>
      </c>
      <c r="E10" s="33">
        <f>VLOOKUP(E7,H6:I15,2,0)</f>
        <v>75900</v>
      </c>
      <c r="H10" s="23" t="s">
        <v>49</v>
      </c>
      <c r="I10" s="13">
        <v>54000</v>
      </c>
    </row>
    <row r="11" spans="1:9" x14ac:dyDescent="0.25">
      <c r="H11" s="23" t="s">
        <v>50</v>
      </c>
      <c r="I11" s="13">
        <v>51400</v>
      </c>
    </row>
    <row r="12" spans="1:9" x14ac:dyDescent="0.25">
      <c r="H12" s="23" t="s">
        <v>51</v>
      </c>
      <c r="I12" s="13">
        <v>58900</v>
      </c>
    </row>
    <row r="13" spans="1:9" x14ac:dyDescent="0.25">
      <c r="H13" s="23" t="s">
        <v>52</v>
      </c>
      <c r="I13" s="13">
        <v>25000</v>
      </c>
    </row>
    <row r="14" spans="1:9" x14ac:dyDescent="0.25">
      <c r="H14" s="23" t="s">
        <v>53</v>
      </c>
      <c r="I14" s="13">
        <v>53700</v>
      </c>
    </row>
    <row r="15" spans="1:9" x14ac:dyDescent="0.25">
      <c r="H15" s="23" t="s">
        <v>54</v>
      </c>
      <c r="I15" s="13">
        <v>91000</v>
      </c>
    </row>
    <row r="16" spans="1:9" x14ac:dyDescent="0.25"/>
    <row r="17" spans="1:9" x14ac:dyDescent="0.25">
      <c r="A17" s="26" t="s">
        <v>39</v>
      </c>
      <c r="B17" s="26"/>
      <c r="C17" s="26"/>
      <c r="D17" s="26"/>
      <c r="E17" s="26"/>
      <c r="F17" s="26"/>
      <c r="G17" s="26"/>
      <c r="H17" s="26"/>
      <c r="I17" s="26"/>
    </row>
    <row r="18" spans="1:9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L18"/>
  <sheetViews>
    <sheetView showGridLines="0" topLeftCell="A4" workbookViewId="0">
      <selection activeCell="E10" sqref="E10"/>
    </sheetView>
  </sheetViews>
  <sheetFormatPr defaultColWidth="0" defaultRowHeight="15" customHeight="1" zeroHeight="1" x14ac:dyDescent="0.25"/>
  <cols>
    <col min="1" max="1" width="3.28515625" customWidth="1"/>
    <col min="2" max="9" width="9.140625" customWidth="1"/>
    <col min="10" max="10" width="3.5703125" customWidth="1"/>
    <col min="11" max="12" width="0" hidden="1" customWidth="1"/>
    <col min="13" max="16384" width="9.140625" hidden="1"/>
  </cols>
  <sheetData>
    <row r="1" spans="1:9" x14ac:dyDescent="0.25"/>
    <row r="2" spans="1:9" x14ac:dyDescent="0.25">
      <c r="B2" s="27" t="s">
        <v>40</v>
      </c>
    </row>
    <row r="3" spans="1:9" x14ac:dyDescent="0.25"/>
    <row r="4" spans="1:9" x14ac:dyDescent="0.25">
      <c r="A4" s="1" t="s">
        <v>38</v>
      </c>
      <c r="B4" s="1"/>
      <c r="C4" s="1"/>
      <c r="D4" s="1"/>
      <c r="E4" s="1"/>
      <c r="F4" s="1"/>
      <c r="G4" s="1"/>
      <c r="H4" s="1"/>
      <c r="I4" s="1"/>
    </row>
    <row r="5" spans="1:9" x14ac:dyDescent="0.25"/>
    <row r="6" spans="1:9" x14ac:dyDescent="0.25">
      <c r="B6" s="27" t="s">
        <v>41</v>
      </c>
      <c r="H6" s="28" t="s">
        <v>1</v>
      </c>
      <c r="I6" s="28" t="s">
        <v>3</v>
      </c>
    </row>
    <row r="7" spans="1:9" x14ac:dyDescent="0.25">
      <c r="B7" s="29" t="s">
        <v>44</v>
      </c>
      <c r="E7" s="23" t="s">
        <v>50</v>
      </c>
      <c r="H7" s="23" t="s">
        <v>46</v>
      </c>
      <c r="I7" s="13">
        <v>41200</v>
      </c>
    </row>
    <row r="8" spans="1:9" x14ac:dyDescent="0.25">
      <c r="H8" s="23" t="s">
        <v>45</v>
      </c>
      <c r="I8" s="13">
        <v>75900</v>
      </c>
    </row>
    <row r="9" spans="1:9" x14ac:dyDescent="0.25">
      <c r="B9" s="27" t="s">
        <v>47</v>
      </c>
      <c r="H9" s="23" t="s">
        <v>48</v>
      </c>
      <c r="I9" s="13">
        <v>42000</v>
      </c>
    </row>
    <row r="10" spans="1:9" x14ac:dyDescent="0.25">
      <c r="B10" t="str">
        <f>"The salary of "&amp;E7&amp;" is"</f>
        <v>The salary of Paul is</v>
      </c>
      <c r="E10" s="33">
        <f>VLOOKUP(E7,H6:I15,2,0)</f>
        <v>51400</v>
      </c>
      <c r="H10" s="23" t="s">
        <v>49</v>
      </c>
      <c r="I10" s="13">
        <v>54000</v>
      </c>
    </row>
    <row r="11" spans="1:9" x14ac:dyDescent="0.25">
      <c r="H11" s="23" t="s">
        <v>50</v>
      </c>
      <c r="I11" s="13">
        <v>51400</v>
      </c>
    </row>
    <row r="12" spans="1:9" x14ac:dyDescent="0.25">
      <c r="H12" s="23" t="s">
        <v>51</v>
      </c>
      <c r="I12" s="13">
        <v>58900</v>
      </c>
    </row>
    <row r="13" spans="1:9" x14ac:dyDescent="0.25">
      <c r="H13" s="23" t="s">
        <v>52</v>
      </c>
      <c r="I13" s="13">
        <v>25000</v>
      </c>
    </row>
    <row r="14" spans="1:9" x14ac:dyDescent="0.25">
      <c r="H14" s="23" t="s">
        <v>53</v>
      </c>
      <c r="I14" s="13">
        <v>53700</v>
      </c>
    </row>
    <row r="15" spans="1:9" x14ac:dyDescent="0.25">
      <c r="H15" s="23" t="s">
        <v>54</v>
      </c>
      <c r="I15" s="13">
        <v>91000</v>
      </c>
    </row>
    <row r="16" spans="1:9" x14ac:dyDescent="0.25"/>
    <row r="17" spans="1:9" x14ac:dyDescent="0.25">
      <c r="A17" s="26" t="s">
        <v>39</v>
      </c>
      <c r="B17" s="26"/>
      <c r="C17" s="26"/>
      <c r="D17" s="26"/>
      <c r="E17" s="26"/>
      <c r="F17" s="26"/>
      <c r="G17" s="26"/>
      <c r="H17" s="26"/>
      <c r="I17" s="26"/>
    </row>
    <row r="18" spans="1:9" x14ac:dyDescent="0.25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1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2" customWidth="1"/>
    <col min="2" max="2" width="10.7109375" bestFit="1" customWidth="1"/>
    <col min="3" max="3" width="15.5703125" customWidth="1"/>
    <col min="4" max="5" width="9.140625" customWidth="1"/>
    <col min="6" max="6" width="17.28515625" customWidth="1"/>
    <col min="7" max="7" width="5.140625" customWidth="1"/>
    <col min="8" max="8" width="9.140625" customWidth="1"/>
    <col min="9" max="9" width="11.85546875" customWidth="1"/>
    <col min="10" max="10" width="6.140625" customWidth="1"/>
    <col min="11" max="11" width="4.7109375" customWidth="1"/>
    <col min="12" max="12" width="11" hidden="1" customWidth="1"/>
    <col min="13" max="16384" width="9.140625" hidden="1"/>
  </cols>
  <sheetData>
    <row r="1" spans="1:10" x14ac:dyDescent="0.25">
      <c r="A1" s="1" t="s">
        <v>38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/>
    <row r="3" spans="1:10" ht="15.75" thickBot="1" x14ac:dyDescent="0.3">
      <c r="B3" s="2" t="s">
        <v>25</v>
      </c>
      <c r="C3" s="2" t="s">
        <v>26</v>
      </c>
      <c r="D3" s="2" t="s">
        <v>27</v>
      </c>
      <c r="E3" s="2" t="s">
        <v>28</v>
      </c>
      <c r="F3" s="2" t="s">
        <v>29</v>
      </c>
      <c r="H3" s="2" t="s">
        <v>30</v>
      </c>
      <c r="I3" s="2" t="s">
        <v>26</v>
      </c>
    </row>
    <row r="4" spans="1:10" x14ac:dyDescent="0.25">
      <c r="B4" s="105">
        <v>41491</v>
      </c>
      <c r="C4" s="15" t="str">
        <f>VLOOKUP(WEEKDAY(B4,2),$H$4:$I$10,2,0)</f>
        <v>Monday</v>
      </c>
      <c r="D4" s="16">
        <v>-250</v>
      </c>
      <c r="E4" s="16"/>
      <c r="F4" s="17">
        <f>SUM(D4:E4)</f>
        <v>-250</v>
      </c>
      <c r="H4" s="18">
        <v>1</v>
      </c>
      <c r="I4" s="19" t="s">
        <v>31</v>
      </c>
    </row>
    <row r="5" spans="1:10" x14ac:dyDescent="0.25">
      <c r="B5" s="105">
        <v>41522</v>
      </c>
      <c r="C5" s="15" t="str">
        <f t="shared" ref="C5:C18" si="0">VLOOKUP(WEEKDAY(B5,2),$H$4:$I$10,2,0)</f>
        <v>Thursday</v>
      </c>
      <c r="D5" s="16"/>
      <c r="E5" s="16">
        <v>720</v>
      </c>
      <c r="F5" s="17">
        <f>SUM(D5:E5)+F4</f>
        <v>470</v>
      </c>
      <c r="H5" s="20">
        <v>2</v>
      </c>
      <c r="I5" s="21" t="s">
        <v>32</v>
      </c>
    </row>
    <row r="6" spans="1:10" x14ac:dyDescent="0.25">
      <c r="B6" s="105">
        <v>41552</v>
      </c>
      <c r="C6" s="15" t="str">
        <f t="shared" si="0"/>
        <v>Saturday</v>
      </c>
      <c r="D6" s="16">
        <v>-140</v>
      </c>
      <c r="E6" s="16"/>
      <c r="F6" s="22">
        <f>SUM(D6:E6)+F5</f>
        <v>330</v>
      </c>
      <c r="H6" s="20">
        <v>3</v>
      </c>
      <c r="I6" s="21" t="s">
        <v>33</v>
      </c>
    </row>
    <row r="7" spans="1:10" x14ac:dyDescent="0.25">
      <c r="B7" s="105"/>
      <c r="C7" s="15" t="str">
        <f t="shared" si="0"/>
        <v>Saturday</v>
      </c>
      <c r="D7" s="16"/>
      <c r="E7" s="16"/>
      <c r="F7" s="22">
        <f t="shared" ref="F7:F18" si="1">SUM(D7:E7)+F6</f>
        <v>330</v>
      </c>
      <c r="H7" s="20">
        <v>4</v>
      </c>
      <c r="I7" s="21" t="s">
        <v>34</v>
      </c>
    </row>
    <row r="8" spans="1:10" x14ac:dyDescent="0.25">
      <c r="B8" s="105"/>
      <c r="C8" s="15" t="str">
        <f t="shared" si="0"/>
        <v>Saturday</v>
      </c>
      <c r="D8" s="16"/>
      <c r="E8" s="16"/>
      <c r="F8" s="22">
        <f t="shared" si="1"/>
        <v>330</v>
      </c>
      <c r="H8" s="20">
        <v>5</v>
      </c>
      <c r="I8" s="21" t="s">
        <v>35</v>
      </c>
    </row>
    <row r="9" spans="1:10" x14ac:dyDescent="0.25">
      <c r="B9" s="105"/>
      <c r="C9" s="15" t="str">
        <f t="shared" si="0"/>
        <v>Saturday</v>
      </c>
      <c r="D9" s="16"/>
      <c r="E9" s="16"/>
      <c r="F9" s="22">
        <f t="shared" si="1"/>
        <v>330</v>
      </c>
      <c r="H9" s="20">
        <v>6</v>
      </c>
      <c r="I9" s="21" t="s">
        <v>36</v>
      </c>
    </row>
    <row r="10" spans="1:10" ht="15.75" thickBot="1" x14ac:dyDescent="0.3">
      <c r="B10" s="105"/>
      <c r="C10" s="15" t="str">
        <f t="shared" si="0"/>
        <v>Saturday</v>
      </c>
      <c r="D10" s="16"/>
      <c r="E10" s="16"/>
      <c r="F10" s="22">
        <f t="shared" si="1"/>
        <v>330</v>
      </c>
      <c r="H10" s="24">
        <v>7</v>
      </c>
      <c r="I10" s="25" t="s">
        <v>37</v>
      </c>
    </row>
    <row r="11" spans="1:10" x14ac:dyDescent="0.25">
      <c r="B11" s="105"/>
      <c r="C11" s="15" t="str">
        <f t="shared" si="0"/>
        <v>Saturday</v>
      </c>
      <c r="D11" s="16"/>
      <c r="E11" s="16"/>
      <c r="F11" s="22">
        <f t="shared" si="1"/>
        <v>330</v>
      </c>
    </row>
    <row r="12" spans="1:10" x14ac:dyDescent="0.25">
      <c r="B12" s="105"/>
      <c r="C12" s="15" t="str">
        <f t="shared" si="0"/>
        <v>Saturday</v>
      </c>
      <c r="D12" s="16"/>
      <c r="E12" s="16"/>
      <c r="F12" s="22">
        <f t="shared" si="1"/>
        <v>330</v>
      </c>
    </row>
    <row r="13" spans="1:10" x14ac:dyDescent="0.25">
      <c r="B13" s="105"/>
      <c r="C13" s="15" t="str">
        <f t="shared" si="0"/>
        <v>Saturday</v>
      </c>
      <c r="D13" s="16"/>
      <c r="E13" s="16"/>
      <c r="F13" s="22">
        <f t="shared" si="1"/>
        <v>330</v>
      </c>
    </row>
    <row r="14" spans="1:10" x14ac:dyDescent="0.25">
      <c r="B14" s="105"/>
      <c r="C14" s="15" t="str">
        <f t="shared" si="0"/>
        <v>Saturday</v>
      </c>
      <c r="D14" s="16"/>
      <c r="E14" s="16"/>
      <c r="F14" s="22">
        <f t="shared" si="1"/>
        <v>330</v>
      </c>
    </row>
    <row r="15" spans="1:10" x14ac:dyDescent="0.25">
      <c r="B15" s="105"/>
      <c r="C15" s="15" t="str">
        <f t="shared" si="0"/>
        <v>Saturday</v>
      </c>
      <c r="D15" s="16"/>
      <c r="E15" s="16"/>
      <c r="F15" s="22">
        <f t="shared" si="1"/>
        <v>330</v>
      </c>
    </row>
    <row r="16" spans="1:10" x14ac:dyDescent="0.25">
      <c r="B16" s="105"/>
      <c r="C16" s="15" t="str">
        <f t="shared" si="0"/>
        <v>Saturday</v>
      </c>
      <c r="D16" s="16"/>
      <c r="E16" s="16"/>
      <c r="F16" s="22">
        <f t="shared" si="1"/>
        <v>330</v>
      </c>
    </row>
    <row r="17" spans="1:10" x14ac:dyDescent="0.25">
      <c r="B17" s="105"/>
      <c r="C17" s="15" t="str">
        <f t="shared" si="0"/>
        <v>Saturday</v>
      </c>
      <c r="D17" s="16"/>
      <c r="E17" s="16"/>
      <c r="F17" s="22">
        <f t="shared" si="1"/>
        <v>330</v>
      </c>
    </row>
    <row r="18" spans="1:10" x14ac:dyDescent="0.25">
      <c r="B18" s="105"/>
      <c r="C18" s="15" t="str">
        <f t="shared" si="0"/>
        <v>Saturday</v>
      </c>
      <c r="D18" s="16"/>
      <c r="E18" s="16"/>
      <c r="F18" s="22">
        <f t="shared" si="1"/>
        <v>330</v>
      </c>
    </row>
    <row r="19" spans="1:10" x14ac:dyDescent="0.25"/>
    <row r="20" spans="1:10" x14ac:dyDescent="0.25">
      <c r="A20" s="26" t="s">
        <v>39</v>
      </c>
      <c r="B20" s="26"/>
      <c r="C20" s="26"/>
      <c r="D20" s="26"/>
      <c r="E20" s="26"/>
      <c r="F20" s="26"/>
      <c r="G20" s="26"/>
      <c r="H20" s="26"/>
      <c r="I20" s="26"/>
      <c r="J20" s="26"/>
    </row>
    <row r="21" spans="1:10" x14ac:dyDescent="0.25"/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8"/>
  <sheetViews>
    <sheetView showGridLines="0" topLeftCell="A4" workbookViewId="0">
      <selection activeCell="E10" sqref="E10"/>
    </sheetView>
  </sheetViews>
  <sheetFormatPr defaultColWidth="0" defaultRowHeight="15" zeroHeight="1" x14ac:dyDescent="0.25"/>
  <cols>
    <col min="1" max="1" width="3.28515625" customWidth="1"/>
    <col min="2" max="11" width="9.140625" customWidth="1"/>
    <col min="12" max="12" width="3.5703125" customWidth="1"/>
    <col min="13" max="16384" width="9.140625" hidden="1"/>
  </cols>
  <sheetData>
    <row r="1" spans="1:11" x14ac:dyDescent="0.25"/>
    <row r="2" spans="1:11" x14ac:dyDescent="0.25">
      <c r="B2" s="27" t="s">
        <v>40</v>
      </c>
    </row>
    <row r="3" spans="1:11" x14ac:dyDescent="0.25"/>
    <row r="4" spans="1:11" x14ac:dyDescent="0.25">
      <c r="A4" s="1" t="s">
        <v>38</v>
      </c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/>
    <row r="6" spans="1:11" x14ac:dyDescent="0.25">
      <c r="B6" s="27" t="s">
        <v>41</v>
      </c>
      <c r="H6" s="28" t="s">
        <v>1</v>
      </c>
      <c r="I6" s="28" t="s">
        <v>2</v>
      </c>
      <c r="J6" s="28" t="s">
        <v>3</v>
      </c>
      <c r="K6" s="28" t="s">
        <v>43</v>
      </c>
    </row>
    <row r="7" spans="1:11" x14ac:dyDescent="0.25">
      <c r="B7" s="29" t="s">
        <v>44</v>
      </c>
      <c r="E7" s="23" t="s">
        <v>45</v>
      </c>
      <c r="H7" s="23" t="s">
        <v>46</v>
      </c>
      <c r="I7" s="23">
        <v>28</v>
      </c>
      <c r="J7" s="13">
        <v>41200</v>
      </c>
      <c r="K7" s="30">
        <v>1</v>
      </c>
    </row>
    <row r="8" spans="1:11" x14ac:dyDescent="0.25">
      <c r="H8" s="23" t="s">
        <v>45</v>
      </c>
      <c r="I8" s="23">
        <v>45</v>
      </c>
      <c r="J8" s="13">
        <v>75900</v>
      </c>
      <c r="K8" s="31">
        <v>0.9</v>
      </c>
    </row>
    <row r="9" spans="1:11" x14ac:dyDescent="0.25">
      <c r="B9" s="27" t="s">
        <v>47</v>
      </c>
      <c r="H9" s="23" t="s">
        <v>48</v>
      </c>
      <c r="I9" s="23">
        <v>29</v>
      </c>
      <c r="J9" s="13">
        <v>42000</v>
      </c>
      <c r="K9" s="30">
        <v>1</v>
      </c>
    </row>
    <row r="10" spans="1:11" x14ac:dyDescent="0.25">
      <c r="B10" t="str">
        <f>"The age of "&amp;E7&amp;" is"</f>
        <v>The age of Mary is</v>
      </c>
      <c r="E10" s="32">
        <f>VLOOKUP(E7,H6:K15,2,0)</f>
        <v>45</v>
      </c>
      <c r="H10" s="23" t="s">
        <v>49</v>
      </c>
      <c r="I10" s="23">
        <v>35</v>
      </c>
      <c r="J10" s="13">
        <v>54000</v>
      </c>
      <c r="K10" s="30">
        <v>1</v>
      </c>
    </row>
    <row r="11" spans="1:11" x14ac:dyDescent="0.25">
      <c r="H11" s="23" t="s">
        <v>50</v>
      </c>
      <c r="I11" s="23">
        <v>36</v>
      </c>
      <c r="J11" s="13">
        <v>51400</v>
      </c>
      <c r="K11" s="30">
        <v>1</v>
      </c>
    </row>
    <row r="12" spans="1:11" x14ac:dyDescent="0.25">
      <c r="H12" s="23" t="s">
        <v>51</v>
      </c>
      <c r="I12" s="23">
        <v>30</v>
      </c>
      <c r="J12" s="13">
        <v>58900</v>
      </c>
      <c r="K12" s="30">
        <v>1</v>
      </c>
    </row>
    <row r="13" spans="1:11" x14ac:dyDescent="0.25">
      <c r="H13" s="23" t="s">
        <v>52</v>
      </c>
      <c r="I13" s="23">
        <v>22</v>
      </c>
      <c r="J13" s="13">
        <v>25000</v>
      </c>
      <c r="K13" s="30">
        <v>0.8</v>
      </c>
    </row>
    <row r="14" spans="1:11" x14ac:dyDescent="0.25">
      <c r="H14" s="23" t="s">
        <v>53</v>
      </c>
      <c r="I14" s="23">
        <v>41</v>
      </c>
      <c r="J14" s="13">
        <v>53700</v>
      </c>
      <c r="K14" s="30">
        <v>1</v>
      </c>
    </row>
    <row r="15" spans="1:11" x14ac:dyDescent="0.25">
      <c r="H15" s="23" t="s">
        <v>54</v>
      </c>
      <c r="I15" s="23">
        <v>48</v>
      </c>
      <c r="J15" s="13">
        <v>91000</v>
      </c>
      <c r="K15" s="30">
        <v>1</v>
      </c>
    </row>
    <row r="16" spans="1:11" x14ac:dyDescent="0.25"/>
    <row r="17" spans="1:11" x14ac:dyDescent="0.25">
      <c r="A17" s="26" t="s">
        <v>39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5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8"/>
  <sheetViews>
    <sheetView showGridLines="0" topLeftCell="A4" workbookViewId="0">
      <selection activeCell="E10" sqref="E10"/>
    </sheetView>
  </sheetViews>
  <sheetFormatPr defaultColWidth="0" defaultRowHeight="15" customHeight="1" zeroHeight="1" x14ac:dyDescent="0.25"/>
  <cols>
    <col min="1" max="1" width="3.28515625" customWidth="1"/>
    <col min="2" max="12" width="9.140625" customWidth="1"/>
    <col min="13" max="13" width="3.5703125" customWidth="1"/>
    <col min="14" max="16384" width="9.140625" hidden="1"/>
  </cols>
  <sheetData>
    <row r="1" spans="1:12" x14ac:dyDescent="0.25"/>
    <row r="2" spans="1:12" x14ac:dyDescent="0.25">
      <c r="B2" s="27" t="s">
        <v>40</v>
      </c>
    </row>
    <row r="3" spans="1:12" x14ac:dyDescent="0.25"/>
    <row r="4" spans="1:12" x14ac:dyDescent="0.25">
      <c r="A4" s="1" t="s">
        <v>38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/>
    <row r="6" spans="1:12" x14ac:dyDescent="0.25">
      <c r="B6" s="27" t="s">
        <v>41</v>
      </c>
      <c r="H6" s="28" t="s">
        <v>1</v>
      </c>
      <c r="I6" s="28" t="s">
        <v>42</v>
      </c>
      <c r="J6" s="28" t="s">
        <v>2</v>
      </c>
      <c r="K6" s="28" t="s">
        <v>3</v>
      </c>
      <c r="L6" s="28" t="s">
        <v>43</v>
      </c>
    </row>
    <row r="7" spans="1:12" x14ac:dyDescent="0.25">
      <c r="B7" s="29" t="s">
        <v>44</v>
      </c>
      <c r="E7" s="23" t="s">
        <v>45</v>
      </c>
      <c r="H7" s="23" t="s">
        <v>46</v>
      </c>
      <c r="I7" s="23">
        <v>4</v>
      </c>
      <c r="J7" s="23">
        <v>28</v>
      </c>
      <c r="K7" s="13">
        <v>41200</v>
      </c>
      <c r="L7" s="30">
        <v>1</v>
      </c>
    </row>
    <row r="8" spans="1:12" x14ac:dyDescent="0.25">
      <c r="H8" s="23" t="s">
        <v>45</v>
      </c>
      <c r="I8" s="23">
        <v>2</v>
      </c>
      <c r="J8" s="23">
        <v>45</v>
      </c>
      <c r="K8" s="13">
        <v>75900</v>
      </c>
      <c r="L8" s="31">
        <v>0.9</v>
      </c>
    </row>
    <row r="9" spans="1:12" x14ac:dyDescent="0.25">
      <c r="B9" s="27" t="s">
        <v>47</v>
      </c>
      <c r="H9" s="23" t="s">
        <v>48</v>
      </c>
      <c r="I9" s="23">
        <v>4</v>
      </c>
      <c r="J9" s="23">
        <v>29</v>
      </c>
      <c r="K9" s="13">
        <v>42000</v>
      </c>
      <c r="L9" s="30">
        <v>1</v>
      </c>
    </row>
    <row r="10" spans="1:12" x14ac:dyDescent="0.25">
      <c r="B10" t="str">
        <f>"The age of "&amp;E7&amp;" is"</f>
        <v>The age of Mary is</v>
      </c>
      <c r="E10" s="32">
        <f>VLOOKUP(E7,H6:L15,2,0)</f>
        <v>2</v>
      </c>
      <c r="H10" s="23" t="s">
        <v>49</v>
      </c>
      <c r="I10" s="23">
        <v>3</v>
      </c>
      <c r="J10" s="23">
        <v>35</v>
      </c>
      <c r="K10" s="13">
        <v>54000</v>
      </c>
      <c r="L10" s="30">
        <v>1</v>
      </c>
    </row>
    <row r="11" spans="1:12" x14ac:dyDescent="0.25">
      <c r="H11" s="23" t="s">
        <v>50</v>
      </c>
      <c r="I11" s="23">
        <v>3</v>
      </c>
      <c r="J11" s="23">
        <v>36</v>
      </c>
      <c r="K11" s="13">
        <v>51400</v>
      </c>
      <c r="L11" s="30">
        <v>1</v>
      </c>
    </row>
    <row r="12" spans="1:12" x14ac:dyDescent="0.25">
      <c r="H12" s="23" t="s">
        <v>51</v>
      </c>
      <c r="I12" s="23">
        <v>3</v>
      </c>
      <c r="J12" s="23">
        <v>30</v>
      </c>
      <c r="K12" s="13">
        <v>58900</v>
      </c>
      <c r="L12" s="30">
        <v>1</v>
      </c>
    </row>
    <row r="13" spans="1:12" x14ac:dyDescent="0.25">
      <c r="H13" s="23" t="s">
        <v>52</v>
      </c>
      <c r="I13" s="23">
        <v>6</v>
      </c>
      <c r="J13" s="23">
        <v>22</v>
      </c>
      <c r="K13" s="13">
        <v>25000</v>
      </c>
      <c r="L13" s="30">
        <v>0.8</v>
      </c>
    </row>
    <row r="14" spans="1:12" x14ac:dyDescent="0.25">
      <c r="H14" s="23" t="s">
        <v>53</v>
      </c>
      <c r="I14" s="23">
        <v>3</v>
      </c>
      <c r="J14" s="23">
        <v>41</v>
      </c>
      <c r="K14" s="13">
        <v>53700</v>
      </c>
      <c r="L14" s="30">
        <v>1</v>
      </c>
    </row>
    <row r="15" spans="1:12" x14ac:dyDescent="0.25">
      <c r="H15" s="23" t="s">
        <v>54</v>
      </c>
      <c r="I15" s="23">
        <v>1</v>
      </c>
      <c r="J15" s="23">
        <v>48</v>
      </c>
      <c r="K15" s="13">
        <v>91000</v>
      </c>
      <c r="L15" s="30">
        <v>1</v>
      </c>
    </row>
    <row r="16" spans="1:12" x14ac:dyDescent="0.25"/>
    <row r="17" spans="1:12" x14ac:dyDescent="0.25">
      <c r="A17" s="26" t="s">
        <v>39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  <row r="18" spans="1:12" x14ac:dyDescent="0.25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8"/>
  <sheetViews>
    <sheetView showGridLines="0" topLeftCell="A4" workbookViewId="0">
      <selection activeCell="E10" sqref="E10"/>
    </sheetView>
  </sheetViews>
  <sheetFormatPr defaultColWidth="0" defaultRowHeight="15" zeroHeight="1" x14ac:dyDescent="0.25"/>
  <cols>
    <col min="1" max="1" width="7.5703125" customWidth="1"/>
    <col min="2" max="8" width="9.140625" customWidth="1"/>
    <col min="9" max="9" width="3.7109375" customWidth="1"/>
    <col min="10" max="12" width="0" hidden="1" customWidth="1"/>
    <col min="13" max="16384" width="9.140625" hidden="1"/>
  </cols>
  <sheetData>
    <row r="1" spans="1:8" x14ac:dyDescent="0.25"/>
    <row r="2" spans="1:8" x14ac:dyDescent="0.25">
      <c r="B2" s="27" t="s">
        <v>40</v>
      </c>
    </row>
    <row r="3" spans="1:8" x14ac:dyDescent="0.25"/>
    <row r="4" spans="1:8" x14ac:dyDescent="0.25">
      <c r="A4" s="1" t="s">
        <v>55</v>
      </c>
      <c r="B4" s="1"/>
      <c r="C4" s="1"/>
      <c r="D4" s="1"/>
      <c r="E4" s="1"/>
      <c r="F4" s="1"/>
      <c r="G4" s="1"/>
      <c r="H4" s="1"/>
    </row>
    <row r="5" spans="1:8" x14ac:dyDescent="0.25"/>
    <row r="6" spans="1:8" x14ac:dyDescent="0.25">
      <c r="B6" s="27" t="s">
        <v>41</v>
      </c>
      <c r="H6" s="28" t="s">
        <v>1</v>
      </c>
    </row>
    <row r="7" spans="1:8" x14ac:dyDescent="0.25">
      <c r="B7" s="29" t="s">
        <v>44</v>
      </c>
      <c r="E7" s="23" t="s">
        <v>45</v>
      </c>
      <c r="H7" s="23" t="s">
        <v>46</v>
      </c>
    </row>
    <row r="8" spans="1:8" x14ac:dyDescent="0.25">
      <c r="H8" s="23" t="s">
        <v>45</v>
      </c>
    </row>
    <row r="9" spans="1:8" x14ac:dyDescent="0.25">
      <c r="B9" s="27" t="s">
        <v>47</v>
      </c>
      <c r="H9" s="23" t="s">
        <v>48</v>
      </c>
    </row>
    <row r="10" spans="1:8" x14ac:dyDescent="0.25">
      <c r="B10" t="str">
        <f>E7&amp;" is located in position"</f>
        <v>Mary is located in position</v>
      </c>
      <c r="E10" s="32">
        <f>MATCH(E7,H7:H15,0)</f>
        <v>2</v>
      </c>
      <c r="H10" s="23" t="s">
        <v>49</v>
      </c>
    </row>
    <row r="11" spans="1:8" x14ac:dyDescent="0.25">
      <c r="H11" s="23" t="s">
        <v>50</v>
      </c>
    </row>
    <row r="12" spans="1:8" x14ac:dyDescent="0.25">
      <c r="H12" s="23" t="s">
        <v>51</v>
      </c>
    </row>
    <row r="13" spans="1:8" x14ac:dyDescent="0.25">
      <c r="H13" s="23" t="s">
        <v>52</v>
      </c>
    </row>
    <row r="14" spans="1:8" x14ac:dyDescent="0.25">
      <c r="H14" s="23" t="s">
        <v>53</v>
      </c>
    </row>
    <row r="15" spans="1:8" x14ac:dyDescent="0.25">
      <c r="H15" s="23" t="s">
        <v>54</v>
      </c>
    </row>
    <row r="16" spans="1:8" x14ac:dyDescent="0.25"/>
    <row r="17" spans="1:8" x14ac:dyDescent="0.25">
      <c r="A17" s="6" t="s">
        <v>39</v>
      </c>
      <c r="B17" s="6"/>
      <c r="C17" s="6"/>
      <c r="D17" s="6"/>
      <c r="E17" s="6"/>
      <c r="F17" s="6"/>
      <c r="G17" s="6"/>
      <c r="H17" s="6"/>
    </row>
    <row r="18" spans="1:8" x14ac:dyDescent="0.25"/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8"/>
  <sheetViews>
    <sheetView showGridLines="0" topLeftCell="A4" workbookViewId="0">
      <selection activeCell="E12" sqref="E12"/>
    </sheetView>
  </sheetViews>
  <sheetFormatPr defaultColWidth="0" defaultRowHeight="15" zeroHeight="1" x14ac:dyDescent="0.25"/>
  <cols>
    <col min="1" max="1" width="7.5703125" customWidth="1"/>
    <col min="2" max="11" width="9.140625" customWidth="1"/>
    <col min="12" max="12" width="6.28515625" customWidth="1"/>
    <col min="13" max="16384" width="9.140625" hidden="1"/>
  </cols>
  <sheetData>
    <row r="1" spans="1:11" x14ac:dyDescent="0.25"/>
    <row r="2" spans="1:11" x14ac:dyDescent="0.25">
      <c r="B2" s="27" t="s">
        <v>40</v>
      </c>
    </row>
    <row r="3" spans="1:11" x14ac:dyDescent="0.25"/>
    <row r="4" spans="1:11" x14ac:dyDescent="0.25">
      <c r="A4" s="1" t="s">
        <v>56</v>
      </c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/>
    <row r="6" spans="1:11" x14ac:dyDescent="0.25">
      <c r="B6" s="27" t="s">
        <v>41</v>
      </c>
      <c r="H6" s="28" t="s">
        <v>1</v>
      </c>
      <c r="I6" s="28" t="s">
        <v>2</v>
      </c>
      <c r="J6" s="28" t="s">
        <v>3</v>
      </c>
      <c r="K6" s="28" t="s">
        <v>43</v>
      </c>
    </row>
    <row r="7" spans="1:11" x14ac:dyDescent="0.25">
      <c r="B7" s="29" t="s">
        <v>44</v>
      </c>
      <c r="E7" s="23" t="s">
        <v>45</v>
      </c>
      <c r="H7" s="23" t="s">
        <v>46</v>
      </c>
      <c r="I7" s="23">
        <v>28</v>
      </c>
      <c r="J7" s="13">
        <v>41200</v>
      </c>
      <c r="K7" s="30">
        <v>1</v>
      </c>
    </row>
    <row r="8" spans="1:11" x14ac:dyDescent="0.25">
      <c r="H8" s="23" t="s">
        <v>45</v>
      </c>
      <c r="I8" s="23">
        <v>45</v>
      </c>
      <c r="J8" s="13">
        <v>75900</v>
      </c>
      <c r="K8" s="31">
        <v>0.9</v>
      </c>
    </row>
    <row r="9" spans="1:11" x14ac:dyDescent="0.25">
      <c r="B9" t="s">
        <v>174</v>
      </c>
      <c r="E9" s="23" t="s">
        <v>2</v>
      </c>
      <c r="H9" s="23" t="s">
        <v>48</v>
      </c>
      <c r="I9" s="23">
        <v>29</v>
      </c>
      <c r="J9" s="13">
        <v>42000</v>
      </c>
      <c r="K9" s="30">
        <v>1</v>
      </c>
    </row>
    <row r="10" spans="1:11" x14ac:dyDescent="0.25">
      <c r="H10" s="23" t="s">
        <v>49</v>
      </c>
      <c r="I10" s="23">
        <v>35</v>
      </c>
      <c r="J10" s="13">
        <v>54000</v>
      </c>
      <c r="K10" s="30">
        <v>1</v>
      </c>
    </row>
    <row r="11" spans="1:11" x14ac:dyDescent="0.25">
      <c r="B11" s="27" t="s">
        <v>47</v>
      </c>
      <c r="H11" s="23" t="s">
        <v>50</v>
      </c>
      <c r="I11" s="23">
        <v>36</v>
      </c>
      <c r="J11" s="13">
        <v>51400</v>
      </c>
      <c r="K11" s="30">
        <v>1</v>
      </c>
    </row>
    <row r="12" spans="1:11" x14ac:dyDescent="0.25">
      <c r="B12" t="str">
        <f>"The age of "&amp;E7&amp;" is"</f>
        <v>The age of Mary is</v>
      </c>
      <c r="E12" s="32">
        <f>VLOOKUP(E7,H6:K15,MATCH(E9,H6:K6,0),0)</f>
        <v>45</v>
      </c>
      <c r="H12" s="23" t="s">
        <v>51</v>
      </c>
      <c r="I12" s="23">
        <v>30</v>
      </c>
      <c r="J12" s="13">
        <v>58900</v>
      </c>
      <c r="K12" s="30">
        <v>1</v>
      </c>
    </row>
    <row r="13" spans="1:11" x14ac:dyDescent="0.25">
      <c r="H13" s="23" t="s">
        <v>52</v>
      </c>
      <c r="I13" s="23">
        <v>22</v>
      </c>
      <c r="J13" s="13">
        <v>25000</v>
      </c>
      <c r="K13" s="30">
        <v>0.8</v>
      </c>
    </row>
    <row r="14" spans="1:11" x14ac:dyDescent="0.25">
      <c r="H14" s="23" t="s">
        <v>53</v>
      </c>
      <c r="I14" s="23">
        <v>41</v>
      </c>
      <c r="J14" s="13">
        <v>53700</v>
      </c>
      <c r="K14" s="30">
        <v>1</v>
      </c>
    </row>
    <row r="15" spans="1:11" x14ac:dyDescent="0.25">
      <c r="H15" s="23" t="s">
        <v>54</v>
      </c>
      <c r="I15" s="23">
        <v>48</v>
      </c>
      <c r="J15" s="13">
        <v>91000</v>
      </c>
      <c r="K15" s="30">
        <v>1</v>
      </c>
    </row>
    <row r="16" spans="1:11" x14ac:dyDescent="0.25"/>
    <row r="17" spans="1:11" x14ac:dyDescent="0.25">
      <c r="A17" s="6" t="s">
        <v>39</v>
      </c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/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18"/>
  <sheetViews>
    <sheetView showGridLines="0" topLeftCell="A4" workbookViewId="0">
      <selection activeCell="E12" sqref="E12"/>
    </sheetView>
  </sheetViews>
  <sheetFormatPr defaultColWidth="0" defaultRowHeight="15" customHeight="1" zeroHeight="1" x14ac:dyDescent="0.25"/>
  <cols>
    <col min="1" max="1" width="7.5703125" customWidth="1"/>
    <col min="2" max="12" width="9.140625" customWidth="1"/>
    <col min="13" max="13" width="6.28515625" customWidth="1"/>
    <col min="14" max="16384" width="9.140625" hidden="1"/>
  </cols>
  <sheetData>
    <row r="1" spans="1:12" x14ac:dyDescent="0.25"/>
    <row r="2" spans="1:12" x14ac:dyDescent="0.25">
      <c r="B2" s="27" t="s">
        <v>40</v>
      </c>
    </row>
    <row r="3" spans="1:12" x14ac:dyDescent="0.25"/>
    <row r="4" spans="1:12" x14ac:dyDescent="0.25">
      <c r="A4" s="1" t="s">
        <v>56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/>
    <row r="6" spans="1:12" x14ac:dyDescent="0.25">
      <c r="B6" s="27" t="s">
        <v>41</v>
      </c>
      <c r="H6" s="28" t="s">
        <v>1</v>
      </c>
      <c r="I6" s="28" t="s">
        <v>42</v>
      </c>
      <c r="J6" s="28" t="s">
        <v>2</v>
      </c>
      <c r="K6" s="28" t="s">
        <v>3</v>
      </c>
      <c r="L6" s="28" t="s">
        <v>43</v>
      </c>
    </row>
    <row r="7" spans="1:12" x14ac:dyDescent="0.25">
      <c r="B7" s="29" t="s">
        <v>44</v>
      </c>
      <c r="E7" s="23" t="s">
        <v>45</v>
      </c>
      <c r="H7" s="23" t="s">
        <v>46</v>
      </c>
      <c r="I7" s="23">
        <v>4</v>
      </c>
      <c r="J7" s="23">
        <v>28</v>
      </c>
      <c r="K7" s="13">
        <v>41200</v>
      </c>
      <c r="L7" s="30">
        <v>1</v>
      </c>
    </row>
    <row r="8" spans="1:12" x14ac:dyDescent="0.25">
      <c r="H8" s="23" t="s">
        <v>45</v>
      </c>
      <c r="I8" s="23">
        <v>2</v>
      </c>
      <c r="J8" s="23">
        <v>45</v>
      </c>
      <c r="K8" s="13">
        <v>75900</v>
      </c>
      <c r="L8" s="31">
        <v>0.9</v>
      </c>
    </row>
    <row r="9" spans="1:12" x14ac:dyDescent="0.25">
      <c r="B9" t="s">
        <v>174</v>
      </c>
      <c r="E9" s="23" t="s">
        <v>2</v>
      </c>
      <c r="H9" s="23" t="s">
        <v>48</v>
      </c>
      <c r="I9" s="23">
        <v>4</v>
      </c>
      <c r="J9" s="23">
        <v>29</v>
      </c>
      <c r="K9" s="13">
        <v>42000</v>
      </c>
      <c r="L9" s="30">
        <v>1</v>
      </c>
    </row>
    <row r="10" spans="1:12" x14ac:dyDescent="0.25">
      <c r="H10" s="23" t="s">
        <v>49</v>
      </c>
      <c r="I10" s="23">
        <v>3</v>
      </c>
      <c r="J10" s="23">
        <v>35</v>
      </c>
      <c r="K10" s="13">
        <v>54000</v>
      </c>
      <c r="L10" s="30">
        <v>1</v>
      </c>
    </row>
    <row r="11" spans="1:12" x14ac:dyDescent="0.25">
      <c r="B11" s="27" t="s">
        <v>47</v>
      </c>
      <c r="H11" s="23" t="s">
        <v>50</v>
      </c>
      <c r="I11" s="23">
        <v>3</v>
      </c>
      <c r="J11" s="23">
        <v>36</v>
      </c>
      <c r="K11" s="13">
        <v>51400</v>
      </c>
      <c r="L11" s="30">
        <v>1</v>
      </c>
    </row>
    <row r="12" spans="1:12" x14ac:dyDescent="0.25">
      <c r="B12" t="str">
        <f>"The age of "&amp;E7&amp;" is"</f>
        <v>The age of Mary is</v>
      </c>
      <c r="E12" s="32">
        <f>VLOOKUP(E7,H6:L15,MATCH(E9,H6:L6,0),0)</f>
        <v>45</v>
      </c>
      <c r="H12" s="23" t="s">
        <v>51</v>
      </c>
      <c r="I12" s="23">
        <v>3</v>
      </c>
      <c r="J12" s="23">
        <v>30</v>
      </c>
      <c r="K12" s="13">
        <v>58900</v>
      </c>
      <c r="L12" s="30">
        <v>1</v>
      </c>
    </row>
    <row r="13" spans="1:12" x14ac:dyDescent="0.25">
      <c r="H13" s="23" t="s">
        <v>52</v>
      </c>
      <c r="I13" s="23">
        <v>6</v>
      </c>
      <c r="J13" s="23">
        <v>22</v>
      </c>
      <c r="K13" s="13">
        <v>25000</v>
      </c>
      <c r="L13" s="30">
        <v>0.8</v>
      </c>
    </row>
    <row r="14" spans="1:12" x14ac:dyDescent="0.25">
      <c r="H14" s="23" t="s">
        <v>53</v>
      </c>
      <c r="I14" s="23">
        <v>3</v>
      </c>
      <c r="J14" s="23">
        <v>41</v>
      </c>
      <c r="K14" s="13">
        <v>53700</v>
      </c>
      <c r="L14" s="30">
        <v>1</v>
      </c>
    </row>
    <row r="15" spans="1:12" x14ac:dyDescent="0.25">
      <c r="H15" s="23" t="s">
        <v>54</v>
      </c>
      <c r="I15" s="23">
        <v>1</v>
      </c>
      <c r="J15" s="23">
        <v>48</v>
      </c>
      <c r="K15" s="13">
        <v>91000</v>
      </c>
      <c r="L15" s="30">
        <v>1</v>
      </c>
    </row>
    <row r="16" spans="1:12" x14ac:dyDescent="0.25"/>
    <row r="17" spans="1:12" x14ac:dyDescent="0.25">
      <c r="A17" s="6" t="s">
        <v>39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8"/>
  <sheetViews>
    <sheetView showGridLines="0" topLeftCell="A4" workbookViewId="0">
      <selection activeCell="E12" sqref="E12"/>
    </sheetView>
  </sheetViews>
  <sheetFormatPr defaultColWidth="0" defaultRowHeight="15" customHeight="1" zeroHeight="1" x14ac:dyDescent="0.25"/>
  <cols>
    <col min="1" max="1" width="7.5703125" customWidth="1"/>
    <col min="2" max="11" width="9.140625" customWidth="1"/>
    <col min="12" max="12" width="6.28515625" customWidth="1"/>
    <col min="13" max="16384" width="9.140625" hidden="1"/>
  </cols>
  <sheetData>
    <row r="1" spans="1:11" x14ac:dyDescent="0.25"/>
    <row r="2" spans="1:11" x14ac:dyDescent="0.25">
      <c r="B2" s="27" t="s">
        <v>40</v>
      </c>
    </row>
    <row r="3" spans="1:11" x14ac:dyDescent="0.25"/>
    <row r="4" spans="1:11" x14ac:dyDescent="0.25">
      <c r="A4" s="1" t="s">
        <v>56</v>
      </c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/>
    <row r="6" spans="1:11" x14ac:dyDescent="0.25">
      <c r="B6" s="27" t="s">
        <v>41</v>
      </c>
      <c r="H6" s="28" t="s">
        <v>1</v>
      </c>
      <c r="I6" s="28" t="s">
        <v>2</v>
      </c>
      <c r="J6" s="28" t="s">
        <v>3</v>
      </c>
      <c r="K6" s="28" t="s">
        <v>43</v>
      </c>
    </row>
    <row r="7" spans="1:11" x14ac:dyDescent="0.25">
      <c r="B7" s="29" t="s">
        <v>44</v>
      </c>
      <c r="E7" s="23" t="s">
        <v>45</v>
      </c>
      <c r="H7" s="23" t="s">
        <v>46</v>
      </c>
      <c r="I7" s="23">
        <v>28</v>
      </c>
      <c r="J7" s="13">
        <v>41200</v>
      </c>
      <c r="K7" s="30">
        <v>1</v>
      </c>
    </row>
    <row r="8" spans="1:11" x14ac:dyDescent="0.25">
      <c r="H8" s="23" t="s">
        <v>45</v>
      </c>
      <c r="I8" s="23">
        <v>45</v>
      </c>
      <c r="J8" s="13">
        <v>75900</v>
      </c>
      <c r="K8" s="31">
        <v>0.9</v>
      </c>
    </row>
    <row r="9" spans="1:11" x14ac:dyDescent="0.25">
      <c r="B9" t="s">
        <v>174</v>
      </c>
      <c r="E9" s="23" t="s">
        <v>2</v>
      </c>
      <c r="H9" s="23" t="s">
        <v>48</v>
      </c>
      <c r="I9" s="23">
        <v>29</v>
      </c>
      <c r="J9" s="13">
        <v>42000</v>
      </c>
      <c r="K9" s="30">
        <v>1</v>
      </c>
    </row>
    <row r="10" spans="1:11" x14ac:dyDescent="0.25">
      <c r="H10" s="23" t="s">
        <v>49</v>
      </c>
      <c r="I10" s="23">
        <v>35</v>
      </c>
      <c r="J10" s="13">
        <v>54000</v>
      </c>
      <c r="K10" s="30">
        <v>1</v>
      </c>
    </row>
    <row r="11" spans="1:11" x14ac:dyDescent="0.25">
      <c r="B11" s="27" t="s">
        <v>47</v>
      </c>
      <c r="H11" s="23" t="s">
        <v>50</v>
      </c>
      <c r="I11" s="23">
        <v>36</v>
      </c>
      <c r="J11" s="13">
        <v>51400</v>
      </c>
      <c r="K11" s="30">
        <v>1</v>
      </c>
    </row>
    <row r="12" spans="1:11" x14ac:dyDescent="0.25">
      <c r="B12" t="str">
        <f>"The age of "&amp;E7&amp;" is"</f>
        <v>The age of Mary is</v>
      </c>
      <c r="E12" s="32">
        <f>VLOOKUP(E7,H6:K15,2,0)</f>
        <v>45</v>
      </c>
      <c r="H12" s="23" t="s">
        <v>51</v>
      </c>
      <c r="I12" s="23">
        <v>30</v>
      </c>
      <c r="J12" s="13">
        <v>58900</v>
      </c>
      <c r="K12" s="30">
        <v>1</v>
      </c>
    </row>
    <row r="13" spans="1:11" x14ac:dyDescent="0.25">
      <c r="H13" s="23" t="s">
        <v>52</v>
      </c>
      <c r="I13" s="23">
        <v>22</v>
      </c>
      <c r="J13" s="13">
        <v>25000</v>
      </c>
      <c r="K13" s="30">
        <v>0.8</v>
      </c>
    </row>
    <row r="14" spans="1:11" x14ac:dyDescent="0.25">
      <c r="H14" s="23" t="s">
        <v>53</v>
      </c>
      <c r="I14" s="23">
        <v>41</v>
      </c>
      <c r="J14" s="13">
        <v>53700</v>
      </c>
      <c r="K14" s="30">
        <v>1</v>
      </c>
    </row>
    <row r="15" spans="1:11" x14ac:dyDescent="0.25">
      <c r="H15" s="23" t="s">
        <v>54</v>
      </c>
      <c r="I15" s="23">
        <v>48</v>
      </c>
      <c r="J15" s="13">
        <v>91000</v>
      </c>
      <c r="K15" s="30">
        <v>1</v>
      </c>
    </row>
    <row r="16" spans="1:11" x14ac:dyDescent="0.25"/>
    <row r="17" spans="1:11" x14ac:dyDescent="0.25">
      <c r="A17" s="6" t="s">
        <v>39</v>
      </c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18"/>
  <sheetViews>
    <sheetView showGridLines="0" topLeftCell="A4" workbookViewId="0">
      <selection activeCell="E12" sqref="E12"/>
    </sheetView>
  </sheetViews>
  <sheetFormatPr defaultColWidth="0" defaultRowHeight="15" customHeight="1" zeroHeight="1" x14ac:dyDescent="0.25"/>
  <cols>
    <col min="1" max="1" width="7.5703125" customWidth="1"/>
    <col min="2" max="12" width="9.140625" customWidth="1"/>
    <col min="13" max="13" width="6.28515625" customWidth="1"/>
    <col min="14" max="16384" width="9.140625" hidden="1"/>
  </cols>
  <sheetData>
    <row r="1" spans="1:12" x14ac:dyDescent="0.25"/>
    <row r="2" spans="1:12" x14ac:dyDescent="0.25">
      <c r="B2" s="27" t="s">
        <v>40</v>
      </c>
    </row>
    <row r="3" spans="1:12" x14ac:dyDescent="0.25"/>
    <row r="4" spans="1:12" x14ac:dyDescent="0.25">
      <c r="A4" s="1" t="s">
        <v>56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/>
    <row r="6" spans="1:12" x14ac:dyDescent="0.25">
      <c r="B6" s="27" t="s">
        <v>41</v>
      </c>
      <c r="H6" s="28" t="s">
        <v>1</v>
      </c>
      <c r="I6" s="28" t="s">
        <v>42</v>
      </c>
      <c r="J6" s="28" t="s">
        <v>2</v>
      </c>
      <c r="K6" s="28" t="s">
        <v>3</v>
      </c>
      <c r="L6" s="28" t="s">
        <v>43</v>
      </c>
    </row>
    <row r="7" spans="1:12" x14ac:dyDescent="0.25">
      <c r="B7" s="29" t="s">
        <v>44</v>
      </c>
      <c r="E7" s="23" t="s">
        <v>45</v>
      </c>
      <c r="H7" s="23" t="s">
        <v>46</v>
      </c>
      <c r="I7" s="23">
        <v>4</v>
      </c>
      <c r="J7" s="23">
        <v>28</v>
      </c>
      <c r="K7" s="13">
        <v>41200</v>
      </c>
      <c r="L7" s="30">
        <v>1</v>
      </c>
    </row>
    <row r="8" spans="1:12" x14ac:dyDescent="0.25">
      <c r="H8" s="23" t="s">
        <v>45</v>
      </c>
      <c r="I8" s="23">
        <v>2</v>
      </c>
      <c r="J8" s="23">
        <v>45</v>
      </c>
      <c r="K8" s="13">
        <v>75900</v>
      </c>
      <c r="L8" s="31">
        <v>0.9</v>
      </c>
    </row>
    <row r="9" spans="1:12" x14ac:dyDescent="0.25">
      <c r="B9" t="s">
        <v>174</v>
      </c>
      <c r="E9" s="23" t="s">
        <v>2</v>
      </c>
      <c r="H9" s="23" t="s">
        <v>48</v>
      </c>
      <c r="I9" s="23">
        <v>4</v>
      </c>
      <c r="J9" s="23">
        <v>29</v>
      </c>
      <c r="K9" s="13">
        <v>42000</v>
      </c>
      <c r="L9" s="30">
        <v>1</v>
      </c>
    </row>
    <row r="10" spans="1:12" x14ac:dyDescent="0.25">
      <c r="H10" s="23" t="s">
        <v>49</v>
      </c>
      <c r="I10" s="23">
        <v>3</v>
      </c>
      <c r="J10" s="23">
        <v>35</v>
      </c>
      <c r="K10" s="13">
        <v>54000</v>
      </c>
      <c r="L10" s="30">
        <v>1</v>
      </c>
    </row>
    <row r="11" spans="1:12" x14ac:dyDescent="0.25">
      <c r="B11" s="27" t="s">
        <v>47</v>
      </c>
      <c r="H11" s="23" t="s">
        <v>50</v>
      </c>
      <c r="I11" s="23">
        <v>3</v>
      </c>
      <c r="J11" s="23">
        <v>36</v>
      </c>
      <c r="K11" s="13">
        <v>51400</v>
      </c>
      <c r="L11" s="30">
        <v>1</v>
      </c>
    </row>
    <row r="12" spans="1:12" x14ac:dyDescent="0.25">
      <c r="B12" t="str">
        <f>"The age of "&amp;E7&amp;" is"</f>
        <v>The age of Mary is</v>
      </c>
      <c r="E12" s="32">
        <f>VLOOKUP(E7,H6:L15,2,0)</f>
        <v>2</v>
      </c>
      <c r="H12" s="23" t="s">
        <v>51</v>
      </c>
      <c r="I12" s="23">
        <v>3</v>
      </c>
      <c r="J12" s="23">
        <v>30</v>
      </c>
      <c r="K12" s="13">
        <v>58900</v>
      </c>
      <c r="L12" s="30">
        <v>1</v>
      </c>
    </row>
    <row r="13" spans="1:12" x14ac:dyDescent="0.25">
      <c r="H13" s="23" t="s">
        <v>52</v>
      </c>
      <c r="I13" s="23">
        <v>6</v>
      </c>
      <c r="J13" s="23">
        <v>22</v>
      </c>
      <c r="K13" s="13">
        <v>25000</v>
      </c>
      <c r="L13" s="30">
        <v>0.8</v>
      </c>
    </row>
    <row r="14" spans="1:12" x14ac:dyDescent="0.25">
      <c r="H14" s="23" t="s">
        <v>53</v>
      </c>
      <c r="I14" s="23">
        <v>3</v>
      </c>
      <c r="J14" s="23">
        <v>41</v>
      </c>
      <c r="K14" s="13">
        <v>53700</v>
      </c>
      <c r="L14" s="30">
        <v>1</v>
      </c>
    </row>
    <row r="15" spans="1:12" x14ac:dyDescent="0.25">
      <c r="H15" s="23" t="s">
        <v>54</v>
      </c>
      <c r="I15" s="23">
        <v>1</v>
      </c>
      <c r="J15" s="23">
        <v>48</v>
      </c>
      <c r="K15" s="13">
        <v>91000</v>
      </c>
      <c r="L15" s="30">
        <v>1</v>
      </c>
    </row>
    <row r="16" spans="1:12" x14ac:dyDescent="0.25"/>
    <row r="17" spans="1:12" x14ac:dyDescent="0.25">
      <c r="A17" s="6" t="s">
        <v>39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showGridLines="0" workbookViewId="0">
      <selection activeCell="E11" sqref="E11"/>
    </sheetView>
  </sheetViews>
  <sheetFormatPr defaultColWidth="0" defaultRowHeight="15" zeroHeight="1" x14ac:dyDescent="0.25"/>
  <cols>
    <col min="1" max="1" width="2.42578125" customWidth="1"/>
    <col min="2" max="2" width="21.85546875" customWidth="1"/>
    <col min="3" max="11" width="9.140625" customWidth="1"/>
    <col min="12" max="12" width="2.5703125" customWidth="1"/>
    <col min="13" max="16384" width="9.140625" hidden="1"/>
  </cols>
  <sheetData>
    <row r="1" spans="1:11" x14ac:dyDescent="0.25">
      <c r="A1" s="1" t="s">
        <v>57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/>
    <row r="3" spans="1:11" x14ac:dyDescent="0.25">
      <c r="G3" s="27" t="s">
        <v>40</v>
      </c>
    </row>
    <row r="4" spans="1:11" x14ac:dyDescent="0.25"/>
    <row r="5" spans="1:11" x14ac:dyDescent="0.25">
      <c r="G5" s="28" t="s">
        <v>1</v>
      </c>
      <c r="H5" s="28" t="s">
        <v>42</v>
      </c>
      <c r="I5" s="28" t="s">
        <v>2</v>
      </c>
      <c r="J5" s="28" t="s">
        <v>3</v>
      </c>
      <c r="K5" s="28" t="s">
        <v>43</v>
      </c>
    </row>
    <row r="6" spans="1:11" x14ac:dyDescent="0.25">
      <c r="G6" s="23" t="s">
        <v>46</v>
      </c>
      <c r="H6" s="23">
        <v>4</v>
      </c>
      <c r="I6" s="23">
        <v>28</v>
      </c>
      <c r="J6" s="13">
        <v>41200</v>
      </c>
      <c r="K6" s="30">
        <v>1</v>
      </c>
    </row>
    <row r="7" spans="1:11" x14ac:dyDescent="0.25">
      <c r="G7" s="23" t="s">
        <v>45</v>
      </c>
      <c r="H7" s="23">
        <v>2</v>
      </c>
      <c r="I7" s="23">
        <v>45</v>
      </c>
      <c r="J7" s="13">
        <v>75900</v>
      </c>
      <c r="K7" s="31">
        <v>0.9</v>
      </c>
    </row>
    <row r="8" spans="1:11" x14ac:dyDescent="0.25">
      <c r="G8" s="23" t="s">
        <v>48</v>
      </c>
      <c r="H8" s="23">
        <v>4</v>
      </c>
      <c r="I8" s="23">
        <v>29</v>
      </c>
      <c r="J8" s="13">
        <v>42000</v>
      </c>
      <c r="K8" s="30">
        <v>1</v>
      </c>
    </row>
    <row r="9" spans="1:11" x14ac:dyDescent="0.25">
      <c r="G9" s="23" t="s">
        <v>49</v>
      </c>
      <c r="H9" s="23">
        <v>3</v>
      </c>
      <c r="I9" s="23">
        <v>35</v>
      </c>
      <c r="J9" s="13">
        <v>54000</v>
      </c>
      <c r="K9" s="30">
        <v>1</v>
      </c>
    </row>
    <row r="10" spans="1:11" x14ac:dyDescent="0.25">
      <c r="B10" s="27" t="s">
        <v>47</v>
      </c>
      <c r="G10" s="23" t="s">
        <v>50</v>
      </c>
      <c r="H10" s="23">
        <v>3</v>
      </c>
      <c r="I10" s="23">
        <v>36</v>
      </c>
      <c r="J10" s="13">
        <v>51400</v>
      </c>
      <c r="K10" s="30">
        <v>1</v>
      </c>
    </row>
    <row r="11" spans="1:11" x14ac:dyDescent="0.25">
      <c r="B11" t="s">
        <v>168</v>
      </c>
      <c r="E11" s="33">
        <f>INDEX(G5:K14,3,4)</f>
        <v>75900</v>
      </c>
      <c r="G11" s="23" t="s">
        <v>51</v>
      </c>
      <c r="H11" s="23">
        <v>3</v>
      </c>
      <c r="I11" s="23">
        <v>30</v>
      </c>
      <c r="J11" s="13">
        <v>58900</v>
      </c>
      <c r="K11" s="30">
        <v>1</v>
      </c>
    </row>
    <row r="12" spans="1:11" x14ac:dyDescent="0.25">
      <c r="G12" s="23" t="s">
        <v>52</v>
      </c>
      <c r="H12" s="23">
        <v>6</v>
      </c>
      <c r="I12" s="23">
        <v>22</v>
      </c>
      <c r="J12" s="13">
        <v>25000</v>
      </c>
      <c r="K12" s="30">
        <v>0.8</v>
      </c>
    </row>
    <row r="13" spans="1:11" x14ac:dyDescent="0.25">
      <c r="G13" s="23" t="s">
        <v>53</v>
      </c>
      <c r="H13" s="23">
        <v>3</v>
      </c>
      <c r="I13" s="23">
        <v>41</v>
      </c>
      <c r="J13" s="13">
        <v>53700</v>
      </c>
      <c r="K13" s="30">
        <v>1</v>
      </c>
    </row>
    <row r="14" spans="1:11" x14ac:dyDescent="0.25">
      <c r="G14" s="23" t="s">
        <v>54</v>
      </c>
      <c r="H14" s="23">
        <v>1</v>
      </c>
      <c r="I14" s="23">
        <v>48</v>
      </c>
      <c r="J14" s="13">
        <v>91000</v>
      </c>
      <c r="K14" s="30">
        <v>1</v>
      </c>
    </row>
    <row r="15" spans="1:11" x14ac:dyDescent="0.25"/>
    <row r="16" spans="1:11" x14ac:dyDescent="0.25">
      <c r="A16" s="6" t="s">
        <v>39</v>
      </c>
      <c r="B16" s="6"/>
      <c r="C16" s="6"/>
      <c r="D16" s="6"/>
      <c r="E16" s="6"/>
      <c r="F16" s="6"/>
      <c r="G16" s="6"/>
      <c r="H16" s="6"/>
      <c r="I16" s="6"/>
      <c r="J16" s="6"/>
      <c r="K16" s="6"/>
    </row>
    <row r="17" x14ac:dyDescent="0.25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7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2.42578125" customWidth="1"/>
    <col min="2" max="2" width="21.85546875" customWidth="1"/>
    <col min="3" max="3" width="13.140625" customWidth="1"/>
    <col min="4" max="4" width="14.5703125" customWidth="1"/>
    <col min="5" max="10" width="9.140625" customWidth="1"/>
    <col min="11" max="11" width="2.5703125" customWidth="1"/>
    <col min="12" max="16384" width="9.140625" hidden="1"/>
  </cols>
  <sheetData>
    <row r="1" spans="1:10" x14ac:dyDescent="0.25">
      <c r="A1" s="1" t="s">
        <v>59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/>
    <row r="3" spans="1:10" x14ac:dyDescent="0.25">
      <c r="F3" s="27" t="s">
        <v>40</v>
      </c>
    </row>
    <row r="4" spans="1:10" x14ac:dyDescent="0.25">
      <c r="B4" s="27" t="s">
        <v>58</v>
      </c>
      <c r="F4" s="28" t="s">
        <v>1</v>
      </c>
      <c r="G4" s="28" t="s">
        <v>42</v>
      </c>
      <c r="H4" s="28" t="s">
        <v>2</v>
      </c>
      <c r="I4" s="28" t="s">
        <v>3</v>
      </c>
      <c r="J4" s="28" t="s">
        <v>43</v>
      </c>
    </row>
    <row r="5" spans="1:10" x14ac:dyDescent="0.25">
      <c r="C5" s="34" t="s">
        <v>1</v>
      </c>
      <c r="D5" s="2" t="s">
        <v>175</v>
      </c>
      <c r="F5" s="23" t="s">
        <v>46</v>
      </c>
      <c r="G5" s="23">
        <v>4</v>
      </c>
      <c r="H5" s="23">
        <v>28</v>
      </c>
      <c r="I5" s="13">
        <v>41200</v>
      </c>
      <c r="J5" s="30">
        <v>1</v>
      </c>
    </row>
    <row r="6" spans="1:10" x14ac:dyDescent="0.25">
      <c r="C6" s="97" t="s">
        <v>50</v>
      </c>
      <c r="D6" s="97" t="s">
        <v>3</v>
      </c>
      <c r="F6" s="23" t="s">
        <v>45</v>
      </c>
      <c r="G6" s="23">
        <v>2</v>
      </c>
      <c r="H6" s="23">
        <v>45</v>
      </c>
      <c r="I6" s="13">
        <v>75900</v>
      </c>
      <c r="J6" s="31">
        <v>0.9</v>
      </c>
    </row>
    <row r="7" spans="1:10" x14ac:dyDescent="0.25">
      <c r="F7" s="23" t="s">
        <v>48</v>
      </c>
      <c r="G7" s="23">
        <v>4</v>
      </c>
      <c r="H7" s="23">
        <v>29</v>
      </c>
      <c r="I7" s="13">
        <v>42000</v>
      </c>
      <c r="J7" s="30">
        <v>1</v>
      </c>
    </row>
    <row r="8" spans="1:10" x14ac:dyDescent="0.25">
      <c r="F8" s="23" t="s">
        <v>49</v>
      </c>
      <c r="G8" s="23">
        <v>3</v>
      </c>
      <c r="H8" s="23">
        <v>35</v>
      </c>
      <c r="I8" s="13">
        <v>54000</v>
      </c>
      <c r="J8" s="30">
        <v>1</v>
      </c>
    </row>
    <row r="9" spans="1:10" x14ac:dyDescent="0.25">
      <c r="B9" s="27" t="s">
        <v>47</v>
      </c>
      <c r="F9" s="23" t="s">
        <v>50</v>
      </c>
      <c r="G9" s="23">
        <v>3</v>
      </c>
      <c r="H9" s="23">
        <v>36</v>
      </c>
      <c r="I9" s="13">
        <v>51400</v>
      </c>
      <c r="J9" s="30">
        <v>1</v>
      </c>
    </row>
    <row r="10" spans="1:10" x14ac:dyDescent="0.25">
      <c r="B10" t="str">
        <f>"Find "&amp;C6&amp;"'s " &amp;D6</f>
        <v>Find Paul's Salary</v>
      </c>
      <c r="C10" s="33">
        <f>INDEX(F4:J13,MATCH(C6,F4:F13,0),MATCH(D6,F4:J4,0))</f>
        <v>51400</v>
      </c>
      <c r="F10" s="23" t="s">
        <v>51</v>
      </c>
      <c r="G10" s="23">
        <v>3</v>
      </c>
      <c r="H10" s="23">
        <v>30</v>
      </c>
      <c r="I10" s="13">
        <v>58900</v>
      </c>
      <c r="J10" s="30">
        <v>1</v>
      </c>
    </row>
    <row r="11" spans="1:10" x14ac:dyDescent="0.25">
      <c r="F11" s="23" t="s">
        <v>52</v>
      </c>
      <c r="G11" s="23">
        <v>6</v>
      </c>
      <c r="H11" s="23">
        <v>22</v>
      </c>
      <c r="I11" s="13">
        <v>25000</v>
      </c>
      <c r="J11" s="30">
        <v>0.8</v>
      </c>
    </row>
    <row r="12" spans="1:10" x14ac:dyDescent="0.25">
      <c r="F12" s="23" t="s">
        <v>53</v>
      </c>
      <c r="G12" s="23">
        <v>3</v>
      </c>
      <c r="H12" s="23">
        <v>41</v>
      </c>
      <c r="I12" s="13">
        <v>53700</v>
      </c>
      <c r="J12" s="30">
        <v>1</v>
      </c>
    </row>
    <row r="13" spans="1:10" x14ac:dyDescent="0.25">
      <c r="F13" s="23" t="s">
        <v>54</v>
      </c>
      <c r="G13" s="23">
        <v>1</v>
      </c>
      <c r="H13" s="23">
        <v>48</v>
      </c>
      <c r="I13" s="13">
        <v>91000</v>
      </c>
      <c r="J13" s="30">
        <v>1</v>
      </c>
    </row>
    <row r="14" spans="1:10" x14ac:dyDescent="0.25"/>
    <row r="15" spans="1:10" x14ac:dyDescent="0.25">
      <c r="A15" s="6" t="s">
        <v>39</v>
      </c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/>
    <row r="17" x14ac:dyDescent="0.25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8"/>
  <sheetViews>
    <sheetView showGridLines="0" workbookViewId="0">
      <selection activeCell="C15" sqref="C15"/>
    </sheetView>
  </sheetViews>
  <sheetFormatPr defaultColWidth="0" defaultRowHeight="15" zeroHeight="1" x14ac:dyDescent="0.25"/>
  <cols>
    <col min="1" max="1" width="2.42578125" customWidth="1"/>
    <col min="2" max="2" width="28.7109375" customWidth="1"/>
    <col min="3" max="4" width="12.7109375" customWidth="1"/>
    <col min="5" max="9" width="9.140625" customWidth="1"/>
    <col min="10" max="10" width="3.42578125" customWidth="1"/>
    <col min="11" max="16384" width="9.140625" hidden="1"/>
  </cols>
  <sheetData>
    <row r="1" spans="1:9" x14ac:dyDescent="0.25">
      <c r="A1" s="1" t="s">
        <v>63</v>
      </c>
      <c r="B1" s="1"/>
      <c r="C1" s="1"/>
      <c r="D1" s="1"/>
      <c r="E1" s="1"/>
      <c r="F1" s="1"/>
      <c r="G1" s="1"/>
      <c r="H1" s="1"/>
      <c r="I1" s="1"/>
    </row>
    <row r="2" spans="1:9" x14ac:dyDescent="0.25"/>
    <row r="3" spans="1:9" x14ac:dyDescent="0.25"/>
    <row r="4" spans="1:9" x14ac:dyDescent="0.25">
      <c r="B4" s="27" t="s">
        <v>58</v>
      </c>
      <c r="E4" s="27" t="s">
        <v>40</v>
      </c>
    </row>
    <row r="5" spans="1:9" x14ac:dyDescent="0.25">
      <c r="B5" t="s">
        <v>60</v>
      </c>
      <c r="C5" s="23">
        <v>1</v>
      </c>
      <c r="E5" s="28" t="s">
        <v>1</v>
      </c>
      <c r="F5" s="28" t="s">
        <v>42</v>
      </c>
      <c r="G5" s="28" t="s">
        <v>2</v>
      </c>
      <c r="H5" s="28" t="s">
        <v>3</v>
      </c>
      <c r="I5" s="28" t="s">
        <v>43</v>
      </c>
    </row>
    <row r="6" spans="1:9" ht="15.75" thickBot="1" x14ac:dyDescent="0.3">
      <c r="B6" t="s">
        <v>169</v>
      </c>
      <c r="C6" s="23">
        <v>2</v>
      </c>
      <c r="E6" s="23" t="s">
        <v>46</v>
      </c>
      <c r="F6" s="23">
        <v>4</v>
      </c>
      <c r="G6" s="35">
        <v>28</v>
      </c>
      <c r="H6" s="13">
        <v>41200</v>
      </c>
      <c r="I6" s="30">
        <v>1</v>
      </c>
    </row>
    <row r="7" spans="1:9" x14ac:dyDescent="0.25">
      <c r="E7" s="23" t="s">
        <v>45</v>
      </c>
      <c r="F7" s="36">
        <v>2</v>
      </c>
      <c r="G7" s="37">
        <v>45</v>
      </c>
      <c r="H7" s="38">
        <v>75900</v>
      </c>
      <c r="I7" s="31">
        <v>0.9</v>
      </c>
    </row>
    <row r="8" spans="1:9" x14ac:dyDescent="0.25">
      <c r="B8" t="s">
        <v>61</v>
      </c>
      <c r="C8" s="23">
        <v>3</v>
      </c>
      <c r="E8" s="23" t="s">
        <v>48</v>
      </c>
      <c r="F8" s="36">
        <v>4</v>
      </c>
      <c r="G8" s="39">
        <v>29</v>
      </c>
      <c r="H8" s="38">
        <v>42000</v>
      </c>
      <c r="I8" s="30">
        <v>1</v>
      </c>
    </row>
    <row r="9" spans="1:9" ht="15.75" thickBot="1" x14ac:dyDescent="0.3">
      <c r="B9" t="s">
        <v>62</v>
      </c>
      <c r="C9" s="23">
        <v>1</v>
      </c>
      <c r="E9" s="23" t="s">
        <v>49</v>
      </c>
      <c r="F9" s="36">
        <v>3</v>
      </c>
      <c r="G9" s="40">
        <v>35</v>
      </c>
      <c r="H9" s="38">
        <v>54000</v>
      </c>
      <c r="I9" s="30">
        <v>1</v>
      </c>
    </row>
    <row r="10" spans="1:9" x14ac:dyDescent="0.25">
      <c r="E10" s="23" t="s">
        <v>50</v>
      </c>
      <c r="F10" s="23">
        <v>3</v>
      </c>
      <c r="G10" s="41">
        <v>36</v>
      </c>
      <c r="H10" s="13">
        <v>51400</v>
      </c>
      <c r="I10" s="30">
        <v>1</v>
      </c>
    </row>
    <row r="11" spans="1:9" x14ac:dyDescent="0.25">
      <c r="E11" s="23" t="s">
        <v>51</v>
      </c>
      <c r="F11" s="23">
        <v>3</v>
      </c>
      <c r="G11" s="23">
        <v>30</v>
      </c>
      <c r="H11" s="13">
        <v>58900</v>
      </c>
      <c r="I11" s="30">
        <v>1</v>
      </c>
    </row>
    <row r="12" spans="1:9" x14ac:dyDescent="0.25">
      <c r="E12" s="23" t="s">
        <v>52</v>
      </c>
      <c r="F12" s="23">
        <v>6</v>
      </c>
      <c r="G12" s="23">
        <v>22</v>
      </c>
      <c r="H12" s="13">
        <v>25000</v>
      </c>
      <c r="I12" s="30">
        <v>0.8</v>
      </c>
    </row>
    <row r="13" spans="1:9" x14ac:dyDescent="0.25">
      <c r="B13" s="27" t="s">
        <v>41</v>
      </c>
      <c r="E13" s="23" t="s">
        <v>53</v>
      </c>
      <c r="F13" s="23">
        <v>3</v>
      </c>
      <c r="G13" s="23">
        <v>41</v>
      </c>
      <c r="H13" s="13">
        <v>53700</v>
      </c>
      <c r="I13" s="30">
        <v>1</v>
      </c>
    </row>
    <row r="14" spans="1:9" x14ac:dyDescent="0.25">
      <c r="E14" s="23" t="s">
        <v>54</v>
      </c>
      <c r="F14" s="23">
        <v>1</v>
      </c>
      <c r="G14" s="23">
        <v>48</v>
      </c>
      <c r="H14" s="13">
        <v>91000</v>
      </c>
      <c r="I14" s="30">
        <v>1</v>
      </c>
    </row>
    <row r="15" spans="1:9" x14ac:dyDescent="0.25">
      <c r="B15" t="s">
        <v>170</v>
      </c>
      <c r="C15" s="42" t="e">
        <f ca="1">OFFSET(E6:I14,C5,C6,C8,C9)</f>
        <v>#VALUE!</v>
      </c>
    </row>
    <row r="16" spans="1:9" x14ac:dyDescent="0.25"/>
    <row r="17" spans="1:9" x14ac:dyDescent="0.25">
      <c r="A17" s="6" t="s">
        <v>39</v>
      </c>
      <c r="B17" s="6"/>
      <c r="C17" s="6"/>
      <c r="D17" s="6"/>
      <c r="E17" s="6"/>
      <c r="F17" s="6"/>
      <c r="G17" s="6"/>
      <c r="H17" s="6"/>
      <c r="I17" s="6"/>
    </row>
    <row r="18" spans="1:9" x14ac:dyDescent="0.25"/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J18"/>
  <sheetViews>
    <sheetView showGridLines="0" workbookViewId="0">
      <selection activeCell="C11" sqref="C11:C12"/>
    </sheetView>
  </sheetViews>
  <sheetFormatPr defaultColWidth="0" defaultRowHeight="15" customHeight="1" zeroHeight="1" x14ac:dyDescent="0.25"/>
  <cols>
    <col min="1" max="1" width="2.42578125" customWidth="1"/>
    <col min="2" max="2" width="28.7109375" customWidth="1"/>
    <col min="3" max="4" width="12.7109375" customWidth="1"/>
    <col min="5" max="9" width="9.140625" customWidth="1"/>
    <col min="10" max="10" width="3.42578125" customWidth="1"/>
    <col min="11" max="16384" width="9.140625" hidden="1"/>
  </cols>
  <sheetData>
    <row r="1" spans="1:9" x14ac:dyDescent="0.25">
      <c r="A1" s="1" t="s">
        <v>63</v>
      </c>
      <c r="B1" s="1"/>
      <c r="C1" s="1"/>
      <c r="D1" s="1"/>
      <c r="E1" s="1"/>
      <c r="F1" s="1"/>
      <c r="G1" s="1"/>
      <c r="H1" s="1"/>
      <c r="I1" s="1"/>
    </row>
    <row r="2" spans="1:9" x14ac:dyDescent="0.25"/>
    <row r="3" spans="1:9" x14ac:dyDescent="0.25"/>
    <row r="4" spans="1:9" x14ac:dyDescent="0.25">
      <c r="B4" s="27" t="s">
        <v>58</v>
      </c>
      <c r="E4" s="27" t="s">
        <v>40</v>
      </c>
    </row>
    <row r="5" spans="1:9" x14ac:dyDescent="0.25">
      <c r="B5" t="s">
        <v>60</v>
      </c>
      <c r="C5" s="23">
        <v>1</v>
      </c>
      <c r="E5" s="28" t="s">
        <v>1</v>
      </c>
      <c r="F5" s="28" t="s">
        <v>42</v>
      </c>
      <c r="G5" s="28" t="s">
        <v>2</v>
      </c>
      <c r="H5" s="28" t="s">
        <v>3</v>
      </c>
      <c r="I5" s="28" t="s">
        <v>43</v>
      </c>
    </row>
    <row r="6" spans="1:9" ht="15.75" thickBot="1" x14ac:dyDescent="0.3">
      <c r="B6" t="s">
        <v>169</v>
      </c>
      <c r="C6" s="23">
        <v>2</v>
      </c>
      <c r="E6" s="23" t="s">
        <v>46</v>
      </c>
      <c r="F6" s="23">
        <v>4</v>
      </c>
      <c r="G6" s="35">
        <v>28</v>
      </c>
      <c r="H6" s="13">
        <v>41200</v>
      </c>
      <c r="I6" s="30">
        <v>1</v>
      </c>
    </row>
    <row r="7" spans="1:9" x14ac:dyDescent="0.25">
      <c r="E7" s="23" t="s">
        <v>45</v>
      </c>
      <c r="F7" s="36">
        <v>2</v>
      </c>
      <c r="G7" s="37">
        <v>45</v>
      </c>
      <c r="H7" s="38">
        <v>75900</v>
      </c>
      <c r="I7" s="31">
        <v>0.9</v>
      </c>
    </row>
    <row r="8" spans="1:9" x14ac:dyDescent="0.25">
      <c r="B8" t="s">
        <v>61</v>
      </c>
      <c r="C8" s="23">
        <v>3</v>
      </c>
      <c r="E8" s="23" t="s">
        <v>48</v>
      </c>
      <c r="F8" s="36">
        <v>4</v>
      </c>
      <c r="G8" s="39">
        <v>29</v>
      </c>
      <c r="H8" s="38">
        <v>42000</v>
      </c>
      <c r="I8" s="30">
        <v>1</v>
      </c>
    </row>
    <row r="9" spans="1:9" ht="15.75" thickBot="1" x14ac:dyDescent="0.3">
      <c r="B9" t="s">
        <v>62</v>
      </c>
      <c r="C9" s="23">
        <v>1</v>
      </c>
      <c r="E9" s="23" t="s">
        <v>49</v>
      </c>
      <c r="F9" s="36">
        <v>3</v>
      </c>
      <c r="G9" s="40">
        <v>35</v>
      </c>
      <c r="H9" s="38">
        <v>54000</v>
      </c>
      <c r="I9" s="30">
        <v>1</v>
      </c>
    </row>
    <row r="10" spans="1:9" x14ac:dyDescent="0.25">
      <c r="E10" s="23" t="s">
        <v>50</v>
      </c>
      <c r="F10" s="23">
        <v>3</v>
      </c>
      <c r="G10" s="41">
        <v>36</v>
      </c>
      <c r="H10" s="13">
        <v>51400</v>
      </c>
      <c r="I10" s="30">
        <v>1</v>
      </c>
    </row>
    <row r="11" spans="1:9" x14ac:dyDescent="0.25">
      <c r="C11" s="99"/>
      <c r="E11" s="23" t="s">
        <v>51</v>
      </c>
      <c r="F11" s="23">
        <v>3</v>
      </c>
      <c r="G11" s="23">
        <v>30</v>
      </c>
      <c r="H11" s="13">
        <v>58900</v>
      </c>
      <c r="I11" s="30">
        <v>1</v>
      </c>
    </row>
    <row r="12" spans="1:9" x14ac:dyDescent="0.25">
      <c r="C12" s="99"/>
      <c r="E12" s="23" t="s">
        <v>52</v>
      </c>
      <c r="F12" s="23">
        <v>6</v>
      </c>
      <c r="G12" s="23">
        <v>22</v>
      </c>
      <c r="H12" s="13">
        <v>25000</v>
      </c>
      <c r="I12" s="30">
        <v>0.8</v>
      </c>
    </row>
    <row r="13" spans="1:9" x14ac:dyDescent="0.25">
      <c r="B13" s="27" t="s">
        <v>41</v>
      </c>
      <c r="E13" s="23" t="s">
        <v>53</v>
      </c>
      <c r="F13" s="23">
        <v>3</v>
      </c>
      <c r="G13" s="23">
        <v>41</v>
      </c>
      <c r="H13" s="13">
        <v>53700</v>
      </c>
      <c r="I13" s="30">
        <v>1</v>
      </c>
    </row>
    <row r="14" spans="1:9" x14ac:dyDescent="0.25">
      <c r="E14" s="23" t="s">
        <v>54</v>
      </c>
      <c r="F14" s="23">
        <v>1</v>
      </c>
      <c r="G14" s="23">
        <v>48</v>
      </c>
      <c r="H14" s="13">
        <v>91000</v>
      </c>
      <c r="I14" s="30">
        <v>1</v>
      </c>
    </row>
    <row r="15" spans="1:9" x14ac:dyDescent="0.25">
      <c r="B15" t="s">
        <v>170</v>
      </c>
      <c r="C15" s="98">
        <f ca="1">SUM(OFFSET(E6:I14,C5,C6,C8,C9))</f>
        <v>109</v>
      </c>
    </row>
    <row r="16" spans="1:9" x14ac:dyDescent="0.25"/>
    <row r="17" spans="1:9" x14ac:dyDescent="0.25">
      <c r="A17" s="6" t="s">
        <v>39</v>
      </c>
      <c r="B17" s="6"/>
      <c r="C17" s="6"/>
      <c r="D17" s="6"/>
      <c r="E17" s="6"/>
      <c r="F17" s="6"/>
      <c r="G17" s="6"/>
      <c r="H17" s="6"/>
      <c r="I17" s="6"/>
    </row>
    <row r="18" spans="1:9" x14ac:dyDescent="0.25"/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6"/>
  <sheetViews>
    <sheetView showGridLines="0" workbookViewId="0">
      <selection activeCell="I8" sqref="I8"/>
    </sheetView>
  </sheetViews>
  <sheetFormatPr defaultColWidth="0" defaultRowHeight="15" zeroHeight="1" x14ac:dyDescent="0.25"/>
  <cols>
    <col min="1" max="1" width="2.42578125" customWidth="1"/>
    <col min="2" max="2" width="11.7109375" customWidth="1"/>
    <col min="3" max="3" width="20.5703125" customWidth="1"/>
    <col min="4" max="4" width="12" customWidth="1"/>
    <col min="5" max="9" width="9.140625" customWidth="1"/>
    <col min="10" max="10" width="3.7109375" customWidth="1"/>
    <col min="11" max="12" width="0" hidden="1" customWidth="1"/>
    <col min="13" max="16384" width="9.140625" hidden="1"/>
  </cols>
  <sheetData>
    <row r="1" spans="1:9" x14ac:dyDescent="0.25">
      <c r="A1" s="1" t="s">
        <v>64</v>
      </c>
      <c r="B1" s="1"/>
      <c r="C1" s="1"/>
      <c r="D1" s="1"/>
      <c r="E1" s="1"/>
      <c r="F1" s="1"/>
      <c r="G1" s="1"/>
      <c r="H1" s="1"/>
      <c r="I1" s="1"/>
    </row>
    <row r="2" spans="1:9" x14ac:dyDescent="0.25"/>
    <row r="3" spans="1:9" x14ac:dyDescent="0.25">
      <c r="B3" s="27" t="s">
        <v>65</v>
      </c>
    </row>
    <row r="4" spans="1:9" x14ac:dyDescent="0.25">
      <c r="C4" t="s">
        <v>172</v>
      </c>
      <c r="D4" s="45">
        <v>3</v>
      </c>
    </row>
    <row r="5" spans="1:9" x14ac:dyDescent="0.25"/>
    <row r="6" spans="1:9" x14ac:dyDescent="0.25">
      <c r="B6" s="27" t="s">
        <v>66</v>
      </c>
    </row>
    <row r="7" spans="1:9" x14ac:dyDescent="0.25">
      <c r="B7" s="27"/>
      <c r="D7" s="2">
        <v>2013</v>
      </c>
      <c r="E7" s="2">
        <v>2014</v>
      </c>
      <c r="F7" s="2">
        <v>2015</v>
      </c>
      <c r="G7" s="2">
        <v>2016</v>
      </c>
      <c r="H7" s="2">
        <v>2017</v>
      </c>
      <c r="I7" s="2">
        <v>2018</v>
      </c>
    </row>
    <row r="8" spans="1:9" x14ac:dyDescent="0.25">
      <c r="B8" s="44">
        <v>1</v>
      </c>
      <c r="C8" t="s">
        <v>67</v>
      </c>
      <c r="D8" s="43">
        <v>18</v>
      </c>
      <c r="E8" s="43">
        <v>18</v>
      </c>
      <c r="F8" s="43">
        <v>18</v>
      </c>
      <c r="G8" s="43">
        <v>19</v>
      </c>
      <c r="H8" s="43">
        <v>19</v>
      </c>
      <c r="I8" s="43">
        <v>19</v>
      </c>
    </row>
    <row r="9" spans="1:9" x14ac:dyDescent="0.25">
      <c r="B9" s="44">
        <v>2</v>
      </c>
      <c r="C9" t="s">
        <v>68</v>
      </c>
      <c r="D9" s="43">
        <v>23</v>
      </c>
      <c r="E9" s="43">
        <v>23</v>
      </c>
      <c r="F9" s="43">
        <v>24</v>
      </c>
      <c r="G9" s="43">
        <v>24</v>
      </c>
      <c r="H9" s="43">
        <v>25</v>
      </c>
      <c r="I9" s="43">
        <v>26</v>
      </c>
    </row>
    <row r="10" spans="1:9" x14ac:dyDescent="0.25">
      <c r="B10" s="44">
        <v>3</v>
      </c>
      <c r="C10" t="s">
        <v>69</v>
      </c>
      <c r="D10" s="43">
        <v>31</v>
      </c>
      <c r="E10" s="43">
        <v>32</v>
      </c>
      <c r="F10" s="43">
        <v>33</v>
      </c>
      <c r="G10" s="43">
        <v>34</v>
      </c>
      <c r="H10" s="43">
        <v>35</v>
      </c>
      <c r="I10" s="43">
        <v>35</v>
      </c>
    </row>
    <row r="11" spans="1:9" x14ac:dyDescent="0.25"/>
    <row r="12" spans="1:9" x14ac:dyDescent="0.25">
      <c r="B12" s="27" t="s">
        <v>41</v>
      </c>
    </row>
    <row r="13" spans="1:9" x14ac:dyDescent="0.25">
      <c r="C13" t="s">
        <v>171</v>
      </c>
      <c r="D13" s="44">
        <f>CHOOSE(D4,D8:I8,D9:I9,D10:I10)</f>
        <v>31</v>
      </c>
      <c r="E13" s="44">
        <f>CHOOSE(D4,D8:I8,D9:I9,D10:I10)</f>
        <v>32</v>
      </c>
      <c r="F13" s="44">
        <f>CHOOSE(D4,D8:I8,D9:I9,D10:I10)</f>
        <v>33</v>
      </c>
      <c r="G13" s="44">
        <f>CHOOSE(D4,D8:I8,D9:I9,D10:I10)</f>
        <v>34</v>
      </c>
      <c r="H13" s="44">
        <f>CHOOSE(D4,D8:I8,D9:I9,D10:I10)</f>
        <v>35</v>
      </c>
      <c r="I13" s="44">
        <f>CHOOSE(D4,D8:I8,D9:I9,D10:I10)</f>
        <v>35</v>
      </c>
    </row>
    <row r="14" spans="1:9" x14ac:dyDescent="0.25"/>
    <row r="15" spans="1:9" x14ac:dyDescent="0.25">
      <c r="A15" s="6" t="s">
        <v>39</v>
      </c>
      <c r="B15" s="6"/>
      <c r="C15" s="6"/>
      <c r="D15" s="6"/>
      <c r="E15" s="6"/>
      <c r="F15" s="6"/>
      <c r="G15" s="6"/>
      <c r="H15" s="6"/>
      <c r="I15" s="6"/>
    </row>
    <row r="16" spans="1:9" x14ac:dyDescent="0.25"/>
  </sheetData>
  <dataValidations count="1">
    <dataValidation type="list" allowBlank="1" showInputMessage="1" showErrorMessage="1" sqref="D4">
      <formula1>"1,2,3"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1"/>
  <sheetViews>
    <sheetView showGridLines="0" workbookViewId="0">
      <selection activeCell="G5" sqref="G5"/>
    </sheetView>
  </sheetViews>
  <sheetFormatPr defaultColWidth="0" defaultRowHeight="15" zeroHeight="1" x14ac:dyDescent="0.25"/>
  <cols>
    <col min="1" max="1" width="3.42578125" customWidth="1"/>
    <col min="2" max="2" width="11.7109375" customWidth="1"/>
    <col min="3" max="6" width="14.85546875" customWidth="1"/>
    <col min="7" max="7" width="18.140625" customWidth="1"/>
    <col min="8" max="8" width="12.85546875" customWidth="1"/>
    <col min="9" max="9" width="9.140625" customWidth="1"/>
    <col min="10" max="10" width="2.5703125" customWidth="1"/>
    <col min="11" max="16384" width="9.140625" hidden="1"/>
  </cols>
  <sheetData>
    <row r="1" spans="1:9" x14ac:dyDescent="0.25">
      <c r="A1" s="1" t="s">
        <v>79</v>
      </c>
      <c r="B1" s="1"/>
      <c r="C1" s="1"/>
      <c r="D1" s="1"/>
      <c r="E1" s="1"/>
      <c r="F1" s="1"/>
      <c r="G1" s="1"/>
      <c r="H1" s="1"/>
      <c r="I1" s="1"/>
    </row>
    <row r="2" spans="1:9" x14ac:dyDescent="0.25"/>
    <row r="3" spans="1:9" x14ac:dyDescent="0.25">
      <c r="B3" s="27" t="s">
        <v>40</v>
      </c>
    </row>
    <row r="4" spans="1:9" x14ac:dyDescent="0.25">
      <c r="B4" s="2" t="s">
        <v>70</v>
      </c>
      <c r="C4" s="2" t="s">
        <v>71</v>
      </c>
      <c r="D4" s="2" t="s">
        <v>72</v>
      </c>
      <c r="E4" s="2" t="s">
        <v>73</v>
      </c>
      <c r="F4" s="2" t="s">
        <v>74</v>
      </c>
      <c r="G4" s="2" t="s">
        <v>75</v>
      </c>
      <c r="H4" s="2" t="s">
        <v>76</v>
      </c>
      <c r="I4" s="2" t="s">
        <v>77</v>
      </c>
    </row>
    <row r="5" spans="1:9" x14ac:dyDescent="0.25">
      <c r="B5" s="106">
        <v>41426</v>
      </c>
      <c r="C5" s="106">
        <v>41574</v>
      </c>
      <c r="D5" s="106">
        <v>41514</v>
      </c>
      <c r="E5" s="106">
        <v>41519</v>
      </c>
      <c r="F5" s="47">
        <v>1</v>
      </c>
      <c r="G5" s="33">
        <f>NETWORKDAYS.INTL(B5,C5,F5,D5:E5)</f>
        <v>103</v>
      </c>
      <c r="H5" s="48">
        <v>350</v>
      </c>
      <c r="I5" s="33">
        <f>G5*H5</f>
        <v>36050</v>
      </c>
    </row>
    <row r="6" spans="1:9" x14ac:dyDescent="0.25"/>
    <row r="7" spans="1:9" x14ac:dyDescent="0.25">
      <c r="B7" s="27" t="s">
        <v>47</v>
      </c>
    </row>
    <row r="8" spans="1:9" x14ac:dyDescent="0.25">
      <c r="B8" t="s">
        <v>78</v>
      </c>
      <c r="D8" s="33">
        <f>G5</f>
        <v>103</v>
      </c>
    </row>
    <row r="9" spans="1:9" x14ac:dyDescent="0.25"/>
    <row r="10" spans="1:9" x14ac:dyDescent="0.25">
      <c r="A10" s="6" t="s">
        <v>39</v>
      </c>
      <c r="B10" s="6"/>
      <c r="C10" s="6"/>
      <c r="D10" s="6"/>
      <c r="E10" s="6"/>
      <c r="F10" s="6"/>
      <c r="G10" s="6"/>
      <c r="H10" s="6"/>
      <c r="I10" s="6"/>
    </row>
    <row r="11" spans="1:9" x14ac:dyDescent="0.25"/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G9"/>
  <sheetViews>
    <sheetView showGridLines="0" workbookViewId="0">
      <selection activeCell="E5" sqref="E5"/>
    </sheetView>
  </sheetViews>
  <sheetFormatPr defaultColWidth="0" defaultRowHeight="15" customHeight="1" zeroHeight="1" x14ac:dyDescent="0.25"/>
  <cols>
    <col min="1" max="1" width="9.140625" customWidth="1"/>
    <col min="2" max="2" width="11.7109375" customWidth="1"/>
    <col min="3" max="3" width="14.85546875" customWidth="1"/>
    <col min="4" max="4" width="15.140625" customWidth="1"/>
    <col min="5" max="5" width="14" customWidth="1"/>
    <col min="6" max="6" width="14.28515625" customWidth="1"/>
    <col min="7" max="7" width="2.28515625" customWidth="1"/>
    <col min="8" max="16384" width="9.140625" hidden="1"/>
  </cols>
  <sheetData>
    <row r="1" spans="1:6" x14ac:dyDescent="0.25">
      <c r="A1" s="1" t="s">
        <v>81</v>
      </c>
      <c r="B1" s="1"/>
      <c r="C1" s="1"/>
      <c r="D1" s="1"/>
      <c r="E1" s="1"/>
      <c r="F1" s="1"/>
    </row>
    <row r="2" spans="1:6" x14ac:dyDescent="0.25"/>
    <row r="3" spans="1:6" x14ac:dyDescent="0.25">
      <c r="B3" s="27" t="s">
        <v>40</v>
      </c>
    </row>
    <row r="4" spans="1:6" ht="30" x14ac:dyDescent="0.25">
      <c r="B4" s="28" t="s">
        <v>70</v>
      </c>
      <c r="C4" s="28" t="s">
        <v>71</v>
      </c>
      <c r="D4" s="49" t="s">
        <v>80</v>
      </c>
      <c r="E4" s="49" t="s">
        <v>176</v>
      </c>
      <c r="F4" s="49" t="s">
        <v>177</v>
      </c>
    </row>
    <row r="5" spans="1:6" x14ac:dyDescent="0.25">
      <c r="B5" s="107">
        <v>41426</v>
      </c>
      <c r="C5" s="107">
        <v>41574</v>
      </c>
      <c r="D5" s="33">
        <f>DATEDIF(B5,C5, "D")</f>
        <v>148</v>
      </c>
      <c r="E5" s="33">
        <f>DATEDIF(B5,C5, "M")</f>
        <v>4</v>
      </c>
      <c r="F5" s="33">
        <f>DATEDIF(B5,C5, "Y")</f>
        <v>0</v>
      </c>
    </row>
    <row r="6" spans="1:6" x14ac:dyDescent="0.25"/>
    <row r="7" spans="1:6" x14ac:dyDescent="0.25">
      <c r="A7" s="6" t="s">
        <v>39</v>
      </c>
      <c r="B7" s="6"/>
      <c r="C7" s="6"/>
      <c r="D7" s="6"/>
      <c r="E7" s="6"/>
      <c r="F7" s="6"/>
    </row>
    <row r="8" spans="1:6" x14ac:dyDescent="0.25"/>
    <row r="9" spans="1:6" hidden="1" x14ac:dyDescent="0.25"/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9"/>
  <sheetViews>
    <sheetView showGridLines="0" workbookViewId="0">
      <selection activeCell="E5" sqref="E5"/>
    </sheetView>
  </sheetViews>
  <sheetFormatPr defaultColWidth="0" defaultRowHeight="15" zeroHeight="1" x14ac:dyDescent="0.25"/>
  <cols>
    <col min="1" max="1" width="9.140625" customWidth="1"/>
    <col min="2" max="2" width="11.7109375" customWidth="1"/>
    <col min="3" max="3" width="14.85546875" customWidth="1"/>
    <col min="4" max="4" width="15.140625" customWidth="1"/>
    <col min="5" max="5" width="14" customWidth="1"/>
    <col min="6" max="6" width="14.28515625" customWidth="1"/>
    <col min="7" max="7" width="2.28515625" customWidth="1"/>
    <col min="8" max="16384" width="9.140625" hidden="1"/>
  </cols>
  <sheetData>
    <row r="1" spans="1:6" x14ac:dyDescent="0.25">
      <c r="A1" s="1" t="s">
        <v>81</v>
      </c>
      <c r="B1" s="1"/>
      <c r="C1" s="1"/>
      <c r="D1" s="1"/>
      <c r="E1" s="1"/>
      <c r="F1" s="1"/>
    </row>
    <row r="2" spans="1:6" x14ac:dyDescent="0.25"/>
    <row r="3" spans="1:6" x14ac:dyDescent="0.25">
      <c r="B3" s="27" t="s">
        <v>40</v>
      </c>
    </row>
    <row r="4" spans="1:6" ht="30" x14ac:dyDescent="0.25">
      <c r="B4" s="28" t="s">
        <v>70</v>
      </c>
      <c r="C4" s="28" t="s">
        <v>71</v>
      </c>
      <c r="D4" s="49" t="s">
        <v>80</v>
      </c>
      <c r="E4" s="49" t="s">
        <v>176</v>
      </c>
      <c r="F4" s="49" t="s">
        <v>177</v>
      </c>
    </row>
    <row r="5" spans="1:6" x14ac:dyDescent="0.25">
      <c r="B5" s="107">
        <v>41426</v>
      </c>
      <c r="C5" s="107">
        <v>41574</v>
      </c>
      <c r="D5" s="33">
        <f>DATEDIF(B5,C5, "D")</f>
        <v>148</v>
      </c>
      <c r="E5" s="33">
        <f>DATEDIF(B5,C5, "M")</f>
        <v>4</v>
      </c>
      <c r="F5" s="33">
        <f>DATEDIF(B5,C5, "Y")</f>
        <v>0</v>
      </c>
    </row>
    <row r="6" spans="1:6" x14ac:dyDescent="0.25"/>
    <row r="7" spans="1:6" x14ac:dyDescent="0.25">
      <c r="A7" s="6" t="s">
        <v>39</v>
      </c>
      <c r="B7" s="6"/>
      <c r="C7" s="6"/>
      <c r="D7" s="6"/>
      <c r="E7" s="6"/>
      <c r="F7" s="6"/>
    </row>
    <row r="8" spans="1:6" x14ac:dyDescent="0.25"/>
    <row r="9" spans="1:6" hidden="1" x14ac:dyDescent="0.25"/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G9"/>
  <sheetViews>
    <sheetView showGridLines="0" workbookViewId="0">
      <selection activeCell="B5" sqref="B5"/>
    </sheetView>
  </sheetViews>
  <sheetFormatPr defaultColWidth="0" defaultRowHeight="15" customHeight="1" zeroHeight="1" x14ac:dyDescent="0.25"/>
  <cols>
    <col min="1" max="1" width="9.140625" customWidth="1"/>
    <col min="2" max="2" width="11.7109375" customWidth="1"/>
    <col min="3" max="3" width="14.85546875" customWidth="1"/>
    <col min="4" max="4" width="15.140625" customWidth="1"/>
    <col min="5" max="5" width="14" customWidth="1"/>
    <col min="6" max="6" width="14.28515625" customWidth="1"/>
    <col min="7" max="7" width="2.28515625" customWidth="1"/>
    <col min="8" max="16384" width="9.140625" hidden="1"/>
  </cols>
  <sheetData>
    <row r="1" spans="1:6" x14ac:dyDescent="0.25">
      <c r="A1" s="1" t="s">
        <v>81</v>
      </c>
      <c r="B1" s="1"/>
      <c r="C1" s="1"/>
      <c r="D1" s="1"/>
      <c r="E1" s="1"/>
      <c r="F1" s="1"/>
    </row>
    <row r="2" spans="1:6" x14ac:dyDescent="0.25"/>
    <row r="3" spans="1:6" x14ac:dyDescent="0.25">
      <c r="B3" s="27" t="s">
        <v>40</v>
      </c>
    </row>
    <row r="4" spans="1:6" ht="30" x14ac:dyDescent="0.25">
      <c r="B4" s="28" t="s">
        <v>70</v>
      </c>
      <c r="C4" s="28" t="s">
        <v>71</v>
      </c>
      <c r="D4" s="49" t="s">
        <v>80</v>
      </c>
      <c r="E4" s="49" t="s">
        <v>176</v>
      </c>
      <c r="F4" s="49" t="s">
        <v>177</v>
      </c>
    </row>
    <row r="5" spans="1:6" x14ac:dyDescent="0.25">
      <c r="B5" s="107">
        <v>41426</v>
      </c>
      <c r="C5" s="107">
        <v>41574</v>
      </c>
      <c r="D5" s="33">
        <f>DATEDIF(B5,C5, "D")</f>
        <v>148</v>
      </c>
      <c r="E5" s="33">
        <f>DATEDIF(B5,C5, "M")</f>
        <v>4</v>
      </c>
      <c r="F5" s="33">
        <f>DATEDIF(B5,C5, "Y")</f>
        <v>0</v>
      </c>
    </row>
    <row r="6" spans="1:6" x14ac:dyDescent="0.25"/>
    <row r="7" spans="1:6" x14ac:dyDescent="0.25">
      <c r="A7" s="6" t="s">
        <v>39</v>
      </c>
      <c r="B7" s="6"/>
      <c r="C7" s="6"/>
      <c r="D7" s="6"/>
      <c r="E7" s="6"/>
      <c r="F7" s="6"/>
    </row>
    <row r="8" spans="1:6" x14ac:dyDescent="0.25"/>
    <row r="9" spans="1:6" hidden="1" x14ac:dyDescent="0.25"/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1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9.140625" customWidth="1"/>
    <col min="2" max="2" width="24" customWidth="1"/>
    <col min="3" max="4" width="14.85546875" customWidth="1"/>
    <col min="5" max="5" width="18.140625" customWidth="1"/>
    <col min="6" max="6" width="2.5703125" customWidth="1"/>
    <col min="7" max="16384" width="9.140625" hidden="1"/>
  </cols>
  <sheetData>
    <row r="1" spans="1:5" x14ac:dyDescent="0.25">
      <c r="A1" s="1" t="s">
        <v>83</v>
      </c>
      <c r="B1" s="1"/>
      <c r="C1" s="1"/>
      <c r="D1" s="1"/>
      <c r="E1" s="1"/>
    </row>
    <row r="2" spans="1:5" x14ac:dyDescent="0.25"/>
    <row r="3" spans="1:5" x14ac:dyDescent="0.25">
      <c r="B3" s="27" t="s">
        <v>40</v>
      </c>
    </row>
    <row r="4" spans="1:5" x14ac:dyDescent="0.25">
      <c r="B4" s="2" t="s">
        <v>70</v>
      </c>
      <c r="C4" s="2" t="s">
        <v>72</v>
      </c>
      <c r="D4" s="2" t="s">
        <v>73</v>
      </c>
      <c r="E4" s="2" t="s">
        <v>75</v>
      </c>
    </row>
    <row r="5" spans="1:5" x14ac:dyDescent="0.25">
      <c r="B5" s="106">
        <v>41426</v>
      </c>
      <c r="C5" s="106">
        <v>41514</v>
      </c>
      <c r="D5" s="106">
        <v>41519</v>
      </c>
      <c r="E5" s="48">
        <v>120</v>
      </c>
    </row>
    <row r="6" spans="1:5" x14ac:dyDescent="0.25"/>
    <row r="7" spans="1:5" x14ac:dyDescent="0.25">
      <c r="B7" s="27" t="s">
        <v>47</v>
      </c>
    </row>
    <row r="8" spans="1:5" x14ac:dyDescent="0.25">
      <c r="B8" t="s">
        <v>82</v>
      </c>
      <c r="C8" s="108">
        <f>WORKDAY(B5,E5,C5:D5)</f>
        <v>41597</v>
      </c>
    </row>
    <row r="9" spans="1:5" x14ac:dyDescent="0.25"/>
    <row r="10" spans="1:5" x14ac:dyDescent="0.25">
      <c r="A10" s="6"/>
      <c r="B10" s="6"/>
      <c r="C10" s="6"/>
      <c r="D10" s="6"/>
      <c r="E10" s="6"/>
    </row>
    <row r="11" spans="1:5" x14ac:dyDescent="0.25"/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1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4.5703125" customWidth="1"/>
    <col min="2" max="2" width="24" customWidth="1"/>
    <col min="3" max="4" width="14.85546875" customWidth="1"/>
    <col min="5" max="5" width="3.5703125" customWidth="1"/>
    <col min="6" max="16384" width="9.140625" hidden="1"/>
  </cols>
  <sheetData>
    <row r="1" spans="1:4" x14ac:dyDescent="0.25">
      <c r="A1" s="1" t="s">
        <v>86</v>
      </c>
      <c r="B1" s="1"/>
      <c r="C1" s="1"/>
      <c r="D1" s="1"/>
    </row>
    <row r="2" spans="1:4" x14ac:dyDescent="0.25"/>
    <row r="3" spans="1:4" x14ac:dyDescent="0.25">
      <c r="B3" s="27" t="s">
        <v>40</v>
      </c>
    </row>
    <row r="4" spans="1:4" x14ac:dyDescent="0.25">
      <c r="B4" s="2" t="s">
        <v>84</v>
      </c>
    </row>
    <row r="5" spans="1:4" x14ac:dyDescent="0.25">
      <c r="B5" s="106">
        <v>41426</v>
      </c>
    </row>
    <row r="6" spans="1:4" x14ac:dyDescent="0.25"/>
    <row r="7" spans="1:4" x14ac:dyDescent="0.25">
      <c r="B7" s="27" t="s">
        <v>47</v>
      </c>
    </row>
    <row r="8" spans="1:4" x14ac:dyDescent="0.25">
      <c r="B8" t="s">
        <v>85</v>
      </c>
      <c r="C8" s="108">
        <f>EOMONTH(B5,-3)</f>
        <v>41364</v>
      </c>
    </row>
    <row r="9" spans="1:4" x14ac:dyDescent="0.25"/>
    <row r="10" spans="1:4" x14ac:dyDescent="0.25">
      <c r="A10" s="6" t="s">
        <v>39</v>
      </c>
      <c r="B10" s="6"/>
      <c r="C10" s="6"/>
      <c r="D10" s="6"/>
    </row>
    <row r="11" spans="1:4" x14ac:dyDescent="0.25"/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11"/>
  <sheetViews>
    <sheetView showGridLines="0" workbookViewId="0"/>
  </sheetViews>
  <sheetFormatPr defaultColWidth="0" defaultRowHeight="15" zeroHeight="1" x14ac:dyDescent="0.25"/>
  <cols>
    <col min="1" max="1" width="9.140625" customWidth="1"/>
    <col min="2" max="2" width="11.7109375" customWidth="1"/>
    <col min="3" max="4" width="14.85546875" customWidth="1"/>
    <col min="5" max="5" width="2.7109375" customWidth="1"/>
    <col min="6" max="16384" width="9.140625" hidden="1"/>
  </cols>
  <sheetData>
    <row r="1" spans="1:4" x14ac:dyDescent="0.25">
      <c r="A1" s="1" t="s">
        <v>87</v>
      </c>
      <c r="B1" s="1"/>
      <c r="C1" s="1"/>
      <c r="D1" s="1"/>
    </row>
    <row r="2" spans="1:4" x14ac:dyDescent="0.25"/>
    <row r="3" spans="1:4" x14ac:dyDescent="0.25">
      <c r="B3" s="27" t="s">
        <v>40</v>
      </c>
    </row>
    <row r="4" spans="1:4" x14ac:dyDescent="0.25">
      <c r="B4" s="2" t="s">
        <v>70</v>
      </c>
      <c r="C4" s="2" t="s">
        <v>71</v>
      </c>
      <c r="D4" s="2" t="s">
        <v>72</v>
      </c>
    </row>
    <row r="5" spans="1:4" x14ac:dyDescent="0.25">
      <c r="B5" s="46">
        <v>41426</v>
      </c>
      <c r="C5" s="46">
        <v>41574</v>
      </c>
      <c r="D5" s="46">
        <v>41514</v>
      </c>
    </row>
    <row r="6" spans="1:4" x14ac:dyDescent="0.25"/>
    <row r="7" spans="1:4" x14ac:dyDescent="0.25">
      <c r="B7" s="27" t="s">
        <v>47</v>
      </c>
    </row>
    <row r="8" spans="1:4" x14ac:dyDescent="0.25">
      <c r="B8" t="s">
        <v>75</v>
      </c>
      <c r="D8" s="33">
        <f>DAYS360(B5,C5,TRUE)</f>
        <v>146</v>
      </c>
    </row>
    <row r="9" spans="1:4" x14ac:dyDescent="0.25"/>
    <row r="10" spans="1:4" x14ac:dyDescent="0.25">
      <c r="A10" s="6" t="s">
        <v>39</v>
      </c>
      <c r="B10" s="6"/>
      <c r="C10" s="6"/>
      <c r="D10" s="6"/>
    </row>
    <row r="11" spans="1:4" x14ac:dyDescent="0.25"/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2"/>
  <sheetViews>
    <sheetView showGridLines="0" workbookViewId="0">
      <selection activeCell="B9" sqref="B9"/>
    </sheetView>
  </sheetViews>
  <sheetFormatPr defaultColWidth="0" defaultRowHeight="15" zeroHeight="1" x14ac:dyDescent="0.25"/>
  <cols>
    <col min="1" max="1" width="9.140625" customWidth="1"/>
    <col min="2" max="2" width="11.7109375" customWidth="1"/>
    <col min="3" max="3" width="3.5703125" customWidth="1"/>
    <col min="4" max="4" width="0" hidden="1" customWidth="1"/>
    <col min="5" max="16384" width="9.140625" hidden="1"/>
  </cols>
  <sheetData>
    <row r="1" spans="1:2" x14ac:dyDescent="0.25">
      <c r="A1" s="1" t="s">
        <v>88</v>
      </c>
      <c r="B1" s="1"/>
    </row>
    <row r="2" spans="1:2" x14ac:dyDescent="0.25"/>
    <row r="3" spans="1:2" x14ac:dyDescent="0.25">
      <c r="B3" s="27" t="s">
        <v>40</v>
      </c>
    </row>
    <row r="4" spans="1:2" x14ac:dyDescent="0.25">
      <c r="B4" s="2" t="s">
        <v>70</v>
      </c>
    </row>
    <row r="5" spans="1:2" x14ac:dyDescent="0.25">
      <c r="B5" s="46">
        <v>41426</v>
      </c>
    </row>
    <row r="6" spans="1:2" x14ac:dyDescent="0.25"/>
    <row r="7" spans="1:2" x14ac:dyDescent="0.25"/>
    <row r="8" spans="1:2" x14ac:dyDescent="0.25">
      <c r="B8" s="2" t="s">
        <v>70</v>
      </c>
    </row>
    <row r="9" spans="1:2" x14ac:dyDescent="0.25">
      <c r="B9" s="46">
        <f>DATE(2013,6,1)</f>
        <v>41426</v>
      </c>
    </row>
    <row r="10" spans="1:2" x14ac:dyDescent="0.25"/>
    <row r="11" spans="1:2" x14ac:dyDescent="0.25">
      <c r="A11" s="6" t="s">
        <v>39</v>
      </c>
      <c r="B11" s="6"/>
    </row>
    <row r="12" spans="1:2" x14ac:dyDescent="0.25"/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U24"/>
  <sheetViews>
    <sheetView showGridLines="0" workbookViewId="0">
      <selection activeCell="D11" sqref="D11"/>
    </sheetView>
  </sheetViews>
  <sheetFormatPr defaultColWidth="0" defaultRowHeight="15" customHeight="1" zeroHeight="1" x14ac:dyDescent="0.25"/>
  <cols>
    <col min="1" max="1" width="2.42578125" customWidth="1"/>
    <col min="2" max="2" width="9.140625" customWidth="1"/>
    <col min="3" max="3" width="22.42578125" customWidth="1"/>
    <col min="4" max="16" width="9.140625" customWidth="1"/>
    <col min="17" max="17" width="4" customWidth="1"/>
    <col min="18" max="21" width="0" hidden="1" customWidth="1"/>
    <col min="22" max="16384" width="9.140625" hidden="1"/>
  </cols>
  <sheetData>
    <row r="1" spans="1:16" x14ac:dyDescent="0.25">
      <c r="A1" s="1" t="s">
        <v>183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/>
    <row r="3" spans="1:16" x14ac:dyDescent="0.25"/>
    <row r="4" spans="1:16" x14ac:dyDescent="0.25">
      <c r="B4" s="27" t="s">
        <v>65</v>
      </c>
    </row>
    <row r="5" spans="1:16" x14ac:dyDescent="0.25">
      <c r="C5" t="s">
        <v>181</v>
      </c>
      <c r="D5" s="101">
        <v>2</v>
      </c>
    </row>
    <row r="6" spans="1:16" x14ac:dyDescent="0.25"/>
    <row r="7" spans="1:16" x14ac:dyDescent="0.25">
      <c r="B7" s="27" t="s">
        <v>139</v>
      </c>
    </row>
    <row r="8" spans="1:16" x14ac:dyDescent="0.25">
      <c r="B8" s="27"/>
    </row>
    <row r="9" spans="1:16" x14ac:dyDescent="0.25">
      <c r="B9" s="27"/>
      <c r="C9" s="88" t="s">
        <v>178</v>
      </c>
      <c r="D9" s="100">
        <v>41275</v>
      </c>
      <c r="E9" s="100">
        <v>41306</v>
      </c>
      <c r="F9" s="100">
        <v>41334</v>
      </c>
      <c r="G9" s="100">
        <v>41365</v>
      </c>
      <c r="H9" s="100">
        <v>41395</v>
      </c>
      <c r="I9" s="100">
        <v>41426</v>
      </c>
      <c r="J9" s="100">
        <v>41456</v>
      </c>
      <c r="K9" s="100">
        <v>41487</v>
      </c>
      <c r="L9" s="100">
        <v>41518</v>
      </c>
      <c r="M9" s="100">
        <v>41548</v>
      </c>
      <c r="N9" s="100">
        <v>41579</v>
      </c>
      <c r="O9" s="100">
        <v>41609</v>
      </c>
      <c r="P9" s="100">
        <v>41640</v>
      </c>
    </row>
    <row r="10" spans="1:16" x14ac:dyDescent="0.25">
      <c r="C10" s="88" t="s">
        <v>179</v>
      </c>
      <c r="D10" s="101">
        <v>1</v>
      </c>
      <c r="E10" s="101">
        <v>2</v>
      </c>
      <c r="F10" s="101">
        <v>3</v>
      </c>
      <c r="G10" s="101">
        <v>4</v>
      </c>
      <c r="H10" s="101">
        <v>5</v>
      </c>
      <c r="I10" s="101">
        <v>6</v>
      </c>
      <c r="J10" s="101">
        <v>7</v>
      </c>
      <c r="K10" s="101">
        <v>8</v>
      </c>
      <c r="L10" s="101">
        <v>9</v>
      </c>
      <c r="M10" s="101">
        <v>10</v>
      </c>
      <c r="N10" s="101">
        <v>11</v>
      </c>
      <c r="O10" s="101">
        <v>12</v>
      </c>
      <c r="P10" s="101">
        <v>13</v>
      </c>
    </row>
    <row r="11" spans="1:16" x14ac:dyDescent="0.25">
      <c r="C11" s="88" t="s">
        <v>180</v>
      </c>
      <c r="D11" s="102">
        <f>MOD(D10,$D$5)</f>
        <v>1</v>
      </c>
      <c r="E11" s="102">
        <f t="shared" ref="E11:P11" si="0">MOD(E10,$D$5)</f>
        <v>0</v>
      </c>
      <c r="F11" s="102">
        <f t="shared" si="0"/>
        <v>1</v>
      </c>
      <c r="G11" s="102">
        <f t="shared" si="0"/>
        <v>0</v>
      </c>
      <c r="H11" s="102">
        <f t="shared" si="0"/>
        <v>1</v>
      </c>
      <c r="I11" s="102">
        <f t="shared" si="0"/>
        <v>0</v>
      </c>
      <c r="J11" s="102">
        <f t="shared" si="0"/>
        <v>1</v>
      </c>
      <c r="K11" s="102">
        <f t="shared" si="0"/>
        <v>0</v>
      </c>
      <c r="L11" s="102">
        <f t="shared" si="0"/>
        <v>1</v>
      </c>
      <c r="M11" s="102">
        <f t="shared" si="0"/>
        <v>0</v>
      </c>
      <c r="N11" s="102">
        <f t="shared" si="0"/>
        <v>1</v>
      </c>
      <c r="O11" s="102">
        <f t="shared" si="0"/>
        <v>0</v>
      </c>
      <c r="P11" s="102">
        <f t="shared" si="0"/>
        <v>1</v>
      </c>
    </row>
    <row r="12" spans="1:16" x14ac:dyDescent="0.25"/>
    <row r="13" spans="1:16" x14ac:dyDescent="0.25"/>
    <row r="14" spans="1:16" x14ac:dyDescent="0.25">
      <c r="B14" s="27" t="s">
        <v>162</v>
      </c>
    </row>
    <row r="15" spans="1:16" x14ac:dyDescent="0.25">
      <c r="D15" s="100">
        <v>41275</v>
      </c>
      <c r="E15" s="100">
        <v>41306</v>
      </c>
      <c r="F15" s="100">
        <v>41334</v>
      </c>
      <c r="G15" s="100">
        <v>41365</v>
      </c>
      <c r="H15" s="100">
        <v>41395</v>
      </c>
      <c r="I15" s="100">
        <v>41426</v>
      </c>
      <c r="J15" s="100">
        <v>41456</v>
      </c>
      <c r="K15" s="100">
        <v>41487</v>
      </c>
      <c r="L15" s="100">
        <v>41518</v>
      </c>
      <c r="M15" s="100">
        <v>41548</v>
      </c>
      <c r="N15" s="100">
        <v>41579</v>
      </c>
      <c r="O15" s="100">
        <v>41609</v>
      </c>
      <c r="P15" s="100">
        <v>41640</v>
      </c>
    </row>
    <row r="16" spans="1:16" x14ac:dyDescent="0.25">
      <c r="C16" s="88" t="s">
        <v>182</v>
      </c>
      <c r="D16" s="103" t="str">
        <f>IF(D11=0,"Send Bill","")</f>
        <v/>
      </c>
      <c r="E16" s="103" t="str">
        <f t="shared" ref="E16:P16" si="1">IF(E11=0,"Send Bill","")</f>
        <v>Send Bill</v>
      </c>
      <c r="F16" s="103" t="str">
        <f t="shared" si="1"/>
        <v/>
      </c>
      <c r="G16" s="103" t="str">
        <f t="shared" si="1"/>
        <v>Send Bill</v>
      </c>
      <c r="H16" s="103" t="str">
        <f t="shared" si="1"/>
        <v/>
      </c>
      <c r="I16" s="103" t="str">
        <f t="shared" si="1"/>
        <v>Send Bill</v>
      </c>
      <c r="J16" s="103" t="str">
        <f t="shared" si="1"/>
        <v/>
      </c>
      <c r="K16" s="103" t="str">
        <f t="shared" si="1"/>
        <v>Send Bill</v>
      </c>
      <c r="L16" s="103" t="str">
        <f t="shared" si="1"/>
        <v/>
      </c>
      <c r="M16" s="103" t="str">
        <f t="shared" si="1"/>
        <v>Send Bill</v>
      </c>
      <c r="N16" s="103" t="str">
        <f t="shared" si="1"/>
        <v/>
      </c>
      <c r="O16" s="103" t="str">
        <f t="shared" si="1"/>
        <v>Send Bill</v>
      </c>
      <c r="P16" s="103" t="str">
        <f t="shared" si="1"/>
        <v/>
      </c>
    </row>
    <row r="17" spans="1:16" x14ac:dyDescent="0.25"/>
    <row r="18" spans="1:16" x14ac:dyDescent="0.25"/>
    <row r="19" spans="1:16" x14ac:dyDescent="0.25"/>
    <row r="20" spans="1:16" x14ac:dyDescent="0.25"/>
    <row r="21" spans="1:16" x14ac:dyDescent="0.25">
      <c r="A21" s="6" t="s">
        <v>39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x14ac:dyDescent="0.25"/>
    <row r="23" spans="1:16" ht="15" hidden="1" customHeight="1" x14ac:dyDescent="0.25"/>
    <row r="24" spans="1:16" ht="15" hidden="1" customHeight="1" x14ac:dyDescent="0.25"/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11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2.42578125" customWidth="1"/>
    <col min="2" max="6" width="9.140625" customWidth="1"/>
    <col min="7" max="7" width="4" customWidth="1"/>
    <col min="8" max="11" width="0" hidden="1" customWidth="1"/>
    <col min="12" max="16384" width="9.140625" hidden="1"/>
  </cols>
  <sheetData>
    <row r="1" spans="1:6" x14ac:dyDescent="0.25">
      <c r="A1" s="1" t="s">
        <v>104</v>
      </c>
      <c r="B1" s="1"/>
      <c r="C1" s="1"/>
      <c r="D1" s="1"/>
      <c r="E1" s="1"/>
      <c r="F1" s="1"/>
    </row>
    <row r="2" spans="1:6" x14ac:dyDescent="0.25"/>
    <row r="3" spans="1:6" x14ac:dyDescent="0.25">
      <c r="B3" s="27" t="s">
        <v>58</v>
      </c>
    </row>
    <row r="4" spans="1:6" x14ac:dyDescent="0.25">
      <c r="B4" s="27"/>
      <c r="D4" s="2" t="s">
        <v>89</v>
      </c>
      <c r="E4" s="2" t="s">
        <v>90</v>
      </c>
      <c r="F4" s="2" t="s">
        <v>91</v>
      </c>
    </row>
    <row r="5" spans="1:6" x14ac:dyDescent="0.25">
      <c r="D5" s="23">
        <v>2</v>
      </c>
      <c r="E5" s="23">
        <v>5</v>
      </c>
      <c r="F5" s="23">
        <v>3</v>
      </c>
    </row>
    <row r="6" spans="1:6" x14ac:dyDescent="0.25"/>
    <row r="7" spans="1:6" x14ac:dyDescent="0.25">
      <c r="B7" s="27" t="s">
        <v>47</v>
      </c>
    </row>
    <row r="8" spans="1:6" x14ac:dyDescent="0.25">
      <c r="C8" s="15">
        <f>PRODUCT(D5:F5)</f>
        <v>30</v>
      </c>
    </row>
    <row r="9" spans="1:6" x14ac:dyDescent="0.25"/>
    <row r="10" spans="1:6" x14ac:dyDescent="0.25">
      <c r="A10" s="6" t="s">
        <v>39</v>
      </c>
      <c r="B10" s="6"/>
      <c r="C10" s="6"/>
      <c r="D10" s="6"/>
      <c r="E10" s="6"/>
      <c r="F10" s="6"/>
    </row>
    <row r="11" spans="1:6" x14ac:dyDescent="0.25"/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13"/>
  <sheetViews>
    <sheetView showGridLines="0" workbookViewId="0">
      <selection sqref="A1:XFD1048576"/>
    </sheetView>
  </sheetViews>
  <sheetFormatPr defaultColWidth="0" defaultRowHeight="15" zeroHeight="1" x14ac:dyDescent="0.25"/>
  <cols>
    <col min="1" max="1" width="2.42578125" customWidth="1"/>
    <col min="2" max="6" width="9.140625" customWidth="1"/>
    <col min="7" max="7" width="3.28515625" customWidth="1"/>
    <col min="8" max="11" width="0" hidden="1" customWidth="1"/>
    <col min="12" max="16384" width="9.140625" hidden="1"/>
  </cols>
  <sheetData>
    <row r="1" spans="1:6" x14ac:dyDescent="0.25">
      <c r="A1" s="1" t="s">
        <v>104</v>
      </c>
      <c r="B1" s="1"/>
      <c r="C1" s="1"/>
      <c r="D1" s="1"/>
      <c r="E1" s="1"/>
      <c r="F1" s="1"/>
    </row>
    <row r="2" spans="1:6" x14ac:dyDescent="0.25"/>
    <row r="3" spans="1:6" x14ac:dyDescent="0.25">
      <c r="B3" s="27" t="s">
        <v>58</v>
      </c>
    </row>
    <row r="4" spans="1:6" x14ac:dyDescent="0.25">
      <c r="D4" s="23">
        <v>2</v>
      </c>
      <c r="E4" s="23">
        <v>5</v>
      </c>
      <c r="F4" s="23">
        <v>3</v>
      </c>
    </row>
    <row r="5" spans="1:6" x14ac:dyDescent="0.25"/>
    <row r="6" spans="1:6" x14ac:dyDescent="0.25">
      <c r="B6" s="27" t="s">
        <v>47</v>
      </c>
    </row>
    <row r="7" spans="1:6" x14ac:dyDescent="0.25">
      <c r="C7" s="15">
        <f>PRODUCT(D4:F4)</f>
        <v>30</v>
      </c>
    </row>
    <row r="8" spans="1:6" x14ac:dyDescent="0.25"/>
    <row r="9" spans="1:6" x14ac:dyDescent="0.25">
      <c r="B9" s="27" t="s">
        <v>92</v>
      </c>
    </row>
    <row r="10" spans="1:6" x14ac:dyDescent="0.25">
      <c r="C10" s="15">
        <f>D4*E4*F4</f>
        <v>30</v>
      </c>
    </row>
    <row r="11" spans="1:6" x14ac:dyDescent="0.25"/>
    <row r="12" spans="1:6" x14ac:dyDescent="0.25">
      <c r="A12" s="6" t="s">
        <v>39</v>
      </c>
      <c r="B12" s="6"/>
      <c r="C12" s="6"/>
      <c r="D12" s="6"/>
      <c r="E12" s="6"/>
      <c r="F12" s="6"/>
    </row>
    <row r="13" spans="1:6" x14ac:dyDescent="0.25"/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6"/>
  <sheetViews>
    <sheetView showGridLines="0" workbookViewId="0">
      <selection activeCell="E13" sqref="E13"/>
    </sheetView>
  </sheetViews>
  <sheetFormatPr defaultColWidth="0" defaultRowHeight="15" zeroHeight="1" x14ac:dyDescent="0.25"/>
  <cols>
    <col min="1" max="1" width="2.42578125" customWidth="1"/>
    <col min="2" max="3" width="9.140625" customWidth="1"/>
    <col min="4" max="4" width="12.140625" customWidth="1"/>
    <col min="5" max="5" width="15.140625" customWidth="1"/>
    <col min="6" max="6" width="3.140625" customWidth="1"/>
    <col min="7" max="16384" width="9.140625" hidden="1"/>
  </cols>
  <sheetData>
    <row r="1" spans="1:5" x14ac:dyDescent="0.25">
      <c r="A1" s="1" t="s">
        <v>103</v>
      </c>
      <c r="B1" s="1"/>
      <c r="C1" s="1"/>
      <c r="D1" s="1"/>
      <c r="E1" s="1"/>
    </row>
    <row r="2" spans="1:5" x14ac:dyDescent="0.25"/>
    <row r="3" spans="1:5" x14ac:dyDescent="0.25">
      <c r="B3" s="27" t="s">
        <v>40</v>
      </c>
    </row>
    <row r="4" spans="1:5" ht="27.75" customHeight="1" x14ac:dyDescent="0.25">
      <c r="D4" s="2" t="s">
        <v>93</v>
      </c>
      <c r="E4" s="34" t="s">
        <v>191</v>
      </c>
    </row>
    <row r="5" spans="1:5" x14ac:dyDescent="0.25">
      <c r="D5" s="23" t="s">
        <v>94</v>
      </c>
      <c r="E5" s="30">
        <v>8.3000000000000007</v>
      </c>
    </row>
    <row r="6" spans="1:5" x14ac:dyDescent="0.25">
      <c r="D6" s="23" t="s">
        <v>95</v>
      </c>
      <c r="E6" s="30">
        <v>2.2999999999999998</v>
      </c>
    </row>
    <row r="7" spans="1:5" x14ac:dyDescent="0.25">
      <c r="D7" s="23" t="s">
        <v>96</v>
      </c>
      <c r="E7" s="30">
        <v>5.3</v>
      </c>
    </row>
    <row r="8" spans="1:5" x14ac:dyDescent="0.25">
      <c r="D8" s="23" t="s">
        <v>97</v>
      </c>
      <c r="E8" s="30">
        <v>3.8</v>
      </c>
    </row>
    <row r="9" spans="1:5" x14ac:dyDescent="0.25">
      <c r="D9" s="23" t="s">
        <v>98</v>
      </c>
      <c r="E9" s="30">
        <v>21.1</v>
      </c>
    </row>
    <row r="10" spans="1:5" x14ac:dyDescent="0.25">
      <c r="D10" s="23" t="s">
        <v>99</v>
      </c>
      <c r="E10" s="30">
        <v>21</v>
      </c>
    </row>
    <row r="11" spans="1:5" x14ac:dyDescent="0.25">
      <c r="D11" s="23" t="s">
        <v>100</v>
      </c>
      <c r="E11" s="30">
        <v>12</v>
      </c>
    </row>
    <row r="12" spans="1:5" x14ac:dyDescent="0.25">
      <c r="D12" s="23" t="s">
        <v>101</v>
      </c>
      <c r="E12" s="30">
        <v>8.1999999999999993</v>
      </c>
    </row>
    <row r="13" spans="1:5" x14ac:dyDescent="0.25">
      <c r="D13" s="27" t="s">
        <v>102</v>
      </c>
      <c r="E13" s="50">
        <f>SUM(E5:E12)</f>
        <v>82.000000000000014</v>
      </c>
    </row>
    <row r="14" spans="1:5" x14ac:dyDescent="0.25"/>
    <row r="15" spans="1:5" x14ac:dyDescent="0.25">
      <c r="A15" s="6" t="s">
        <v>39</v>
      </c>
      <c r="B15" s="6"/>
      <c r="C15" s="6"/>
      <c r="D15" s="6"/>
      <c r="E15" s="6"/>
    </row>
    <row r="16" spans="1:5" x14ac:dyDescent="0.25"/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22"/>
  <sheetViews>
    <sheetView showGridLines="0" workbookViewId="0">
      <selection activeCell="C18" sqref="A1:XFD1048576"/>
    </sheetView>
  </sheetViews>
  <sheetFormatPr defaultColWidth="0" defaultRowHeight="15" zeroHeight="1" x14ac:dyDescent="0.25"/>
  <cols>
    <col min="1" max="1" width="9.140625" customWidth="1"/>
    <col min="2" max="2" width="14.42578125" customWidth="1"/>
    <col min="3" max="3" width="9.140625" customWidth="1"/>
    <col min="4" max="4" width="8.85546875" bestFit="1" customWidth="1"/>
    <col min="5" max="6" width="9.140625" customWidth="1"/>
    <col min="7" max="9" width="11.42578125" customWidth="1"/>
    <col min="10" max="10" width="5.42578125" customWidth="1"/>
    <col min="11" max="16384" width="9.140625" hidden="1"/>
  </cols>
  <sheetData>
    <row r="1" spans="1:9" x14ac:dyDescent="0.25">
      <c r="A1" s="1" t="s">
        <v>119</v>
      </c>
      <c r="B1" s="1"/>
      <c r="C1" s="1"/>
      <c r="D1" s="1"/>
      <c r="E1" s="1"/>
      <c r="F1" s="1"/>
      <c r="G1" s="1"/>
      <c r="H1" s="1"/>
      <c r="I1" s="1"/>
    </row>
    <row r="2" spans="1:9" x14ac:dyDescent="0.25"/>
    <row r="3" spans="1:9" x14ac:dyDescent="0.25">
      <c r="B3" s="27" t="s">
        <v>105</v>
      </c>
    </row>
    <row r="4" spans="1:9" ht="30" x14ac:dyDescent="0.25">
      <c r="C4" s="51" t="s">
        <v>106</v>
      </c>
      <c r="D4" s="51" t="s">
        <v>107</v>
      </c>
      <c r="E4" s="51" t="s">
        <v>108</v>
      </c>
    </row>
    <row r="5" spans="1:9" x14ac:dyDescent="0.25">
      <c r="C5" s="52">
        <v>0</v>
      </c>
      <c r="D5" s="52">
        <v>25000</v>
      </c>
      <c r="E5" s="52">
        <v>1</v>
      </c>
    </row>
    <row r="6" spans="1:9" x14ac:dyDescent="0.25">
      <c r="C6" s="52">
        <v>25001</v>
      </c>
      <c r="D6" s="52">
        <v>50000</v>
      </c>
      <c r="E6" s="52">
        <v>2</v>
      </c>
    </row>
    <row r="7" spans="1:9" x14ac:dyDescent="0.25"/>
    <row r="8" spans="1:9" x14ac:dyDescent="0.25">
      <c r="B8" s="27" t="s">
        <v>40</v>
      </c>
    </row>
    <row r="9" spans="1:9" x14ac:dyDescent="0.25">
      <c r="C9" s="53" t="s">
        <v>1</v>
      </c>
      <c r="D9" s="53" t="s">
        <v>109</v>
      </c>
      <c r="E9" s="53" t="s">
        <v>2</v>
      </c>
      <c r="F9" s="53" t="s">
        <v>3</v>
      </c>
      <c r="G9" s="53" t="s">
        <v>108</v>
      </c>
      <c r="H9" s="56"/>
      <c r="I9" s="56"/>
    </row>
    <row r="10" spans="1:9" x14ac:dyDescent="0.25">
      <c r="C10" s="54" t="s">
        <v>110</v>
      </c>
      <c r="D10" s="54" t="s">
        <v>111</v>
      </c>
      <c r="E10" s="54">
        <v>25</v>
      </c>
      <c r="F10" s="52">
        <v>23400</v>
      </c>
      <c r="G10" s="55">
        <f>IF(AND(F10&gt;C5,F10&lt;=D5),E5,IF(AND(F10&gt;=C6,F10&lt;=D6),E6,0))</f>
        <v>1</v>
      </c>
      <c r="H10" s="56"/>
      <c r="I10" s="56"/>
    </row>
    <row r="11" spans="1:9" x14ac:dyDescent="0.25">
      <c r="C11" s="54" t="s">
        <v>4</v>
      </c>
      <c r="D11" s="54" t="s">
        <v>112</v>
      </c>
      <c r="E11" s="54">
        <v>28</v>
      </c>
      <c r="F11" s="52">
        <v>26210</v>
      </c>
      <c r="G11" s="55">
        <f>IF(AND(F11&gt;$C$5,F11&lt;=$D$5),$E$5,IF(AND(F11&gt;=$C$6,F11&lt;=$D$6),$E$6,0))</f>
        <v>2</v>
      </c>
      <c r="H11" s="56"/>
      <c r="I11" s="56"/>
    </row>
    <row r="12" spans="1:9" x14ac:dyDescent="0.25">
      <c r="C12" s="54" t="s">
        <v>113</v>
      </c>
      <c r="D12" s="54" t="s">
        <v>111</v>
      </c>
      <c r="E12" s="54">
        <v>31</v>
      </c>
      <c r="F12" s="52">
        <v>32900</v>
      </c>
      <c r="G12" s="55">
        <f t="shared" ref="G12:G18" si="0">IF(AND(F12&gt;$C$5,F12&lt;=$D$5),$E$5,IF(AND(F12&gt;=$C$6,F12&lt;=$D$6),$E$6,0))</f>
        <v>2</v>
      </c>
      <c r="H12" s="56"/>
      <c r="I12" s="56"/>
    </row>
    <row r="13" spans="1:9" x14ac:dyDescent="0.25">
      <c r="C13" s="54" t="s">
        <v>114</v>
      </c>
      <c r="D13" s="54" t="s">
        <v>112</v>
      </c>
      <c r="E13" s="54">
        <v>24</v>
      </c>
      <c r="F13" s="52">
        <v>21300</v>
      </c>
      <c r="G13" s="55">
        <f t="shared" si="0"/>
        <v>1</v>
      </c>
      <c r="H13" s="56"/>
      <c r="I13" s="56"/>
    </row>
    <row r="14" spans="1:9" x14ac:dyDescent="0.25">
      <c r="C14" s="54" t="s">
        <v>115</v>
      </c>
      <c r="D14" s="54" t="s">
        <v>111</v>
      </c>
      <c r="E14" s="54">
        <v>31</v>
      </c>
      <c r="F14" s="52">
        <v>35400</v>
      </c>
      <c r="G14" s="55">
        <f t="shared" si="0"/>
        <v>2</v>
      </c>
      <c r="H14" s="56"/>
      <c r="I14" s="56"/>
    </row>
    <row r="15" spans="1:9" x14ac:dyDescent="0.25">
      <c r="C15" s="54" t="s">
        <v>116</v>
      </c>
      <c r="D15" s="54" t="s">
        <v>112</v>
      </c>
      <c r="E15" s="54">
        <v>23</v>
      </c>
      <c r="F15" s="52">
        <v>22740</v>
      </c>
      <c r="G15" s="55">
        <f t="shared" si="0"/>
        <v>1</v>
      </c>
      <c r="H15" s="56"/>
      <c r="I15" s="56"/>
    </row>
    <row r="16" spans="1:9" x14ac:dyDescent="0.25">
      <c r="C16" s="54" t="s">
        <v>117</v>
      </c>
      <c r="D16" s="54" t="s">
        <v>112</v>
      </c>
      <c r="E16" s="54">
        <v>24</v>
      </c>
      <c r="F16" s="52">
        <v>22108</v>
      </c>
      <c r="G16" s="55">
        <f t="shared" si="0"/>
        <v>1</v>
      </c>
      <c r="H16" s="56"/>
      <c r="I16" s="56"/>
    </row>
    <row r="17" spans="1:9" x14ac:dyDescent="0.25">
      <c r="C17" s="54" t="s">
        <v>54</v>
      </c>
      <c r="D17" s="54" t="s">
        <v>111</v>
      </c>
      <c r="E17" s="54">
        <v>29</v>
      </c>
      <c r="F17" s="52">
        <v>34500</v>
      </c>
      <c r="G17" s="55">
        <f t="shared" si="0"/>
        <v>2</v>
      </c>
      <c r="H17" s="56"/>
      <c r="I17" s="56"/>
    </row>
    <row r="18" spans="1:9" x14ac:dyDescent="0.25">
      <c r="C18" s="54" t="s">
        <v>118</v>
      </c>
      <c r="D18" s="54" t="s">
        <v>112</v>
      </c>
      <c r="E18" s="54">
        <v>32</v>
      </c>
      <c r="F18" s="52">
        <v>32750</v>
      </c>
      <c r="G18" s="55">
        <f t="shared" si="0"/>
        <v>2</v>
      </c>
      <c r="H18" s="56"/>
      <c r="I18" s="56"/>
    </row>
    <row r="19" spans="1:9" x14ac:dyDescent="0.25"/>
    <row r="20" spans="1:9" x14ac:dyDescent="0.25">
      <c r="A20" s="6" t="s">
        <v>39</v>
      </c>
      <c r="B20" s="6"/>
      <c r="C20" s="6"/>
      <c r="D20" s="6"/>
      <c r="E20" s="6"/>
      <c r="F20" s="6"/>
      <c r="G20" s="6"/>
      <c r="H20" s="6"/>
      <c r="I20" s="6"/>
    </row>
    <row r="21" spans="1:9" x14ac:dyDescent="0.25"/>
    <row r="22" spans="1:9" x14ac:dyDescent="0.25"/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V23"/>
  <sheetViews>
    <sheetView showGridLines="0" zoomScale="90" zoomScaleNormal="90" workbookViewId="0"/>
  </sheetViews>
  <sheetFormatPr defaultColWidth="0" defaultRowHeight="15" zeroHeight="1" x14ac:dyDescent="0.25"/>
  <cols>
    <col min="1" max="1" width="5.140625" customWidth="1"/>
    <col min="2" max="2" width="14.42578125" customWidth="1"/>
    <col min="3" max="3" width="9.140625" customWidth="1"/>
    <col min="4" max="4" width="8.85546875" bestFit="1" customWidth="1"/>
    <col min="5" max="6" width="9.140625" customWidth="1"/>
    <col min="7" max="7" width="11.42578125" customWidth="1"/>
    <col min="8" max="21" width="9.140625" customWidth="1"/>
    <col min="22" max="22" width="5.140625" customWidth="1"/>
    <col min="23" max="16384" width="9.140625" hidden="1"/>
  </cols>
  <sheetData>
    <row r="1" spans="1:21" x14ac:dyDescent="0.25">
      <c r="A1" s="1" t="s">
        <v>120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x14ac:dyDescent="0.25"/>
    <row r="3" spans="1:21" x14ac:dyDescent="0.25">
      <c r="B3" s="27" t="s">
        <v>105</v>
      </c>
    </row>
    <row r="4" spans="1:21" ht="30" x14ac:dyDescent="0.25">
      <c r="C4" s="51" t="s">
        <v>106</v>
      </c>
      <c r="D4" s="51" t="s">
        <v>107</v>
      </c>
      <c r="E4" s="51" t="s">
        <v>108</v>
      </c>
    </row>
    <row r="5" spans="1:21" x14ac:dyDescent="0.25">
      <c r="C5" s="52">
        <v>0</v>
      </c>
      <c r="D5" s="52">
        <v>25000</v>
      </c>
      <c r="E5" s="52">
        <v>1</v>
      </c>
    </row>
    <row r="6" spans="1:21" x14ac:dyDescent="0.25">
      <c r="C6" s="52">
        <v>25001</v>
      </c>
      <c r="D6" s="52">
        <v>50000</v>
      </c>
      <c r="E6" s="52">
        <v>2</v>
      </c>
    </row>
    <row r="7" spans="1:21" x14ac:dyDescent="0.25">
      <c r="C7" s="52">
        <v>50001</v>
      </c>
      <c r="D7" s="52">
        <v>75000</v>
      </c>
      <c r="E7" s="52">
        <v>3</v>
      </c>
    </row>
    <row r="8" spans="1:21" x14ac:dyDescent="0.25">
      <c r="C8" s="52">
        <v>75001</v>
      </c>
      <c r="D8" s="52">
        <v>100000</v>
      </c>
      <c r="E8" s="52">
        <v>4</v>
      </c>
    </row>
    <row r="9" spans="1:21" x14ac:dyDescent="0.25">
      <c r="C9" s="52">
        <v>100001</v>
      </c>
      <c r="D9" s="52">
        <v>125000</v>
      </c>
      <c r="E9" s="52">
        <v>5</v>
      </c>
    </row>
    <row r="10" spans="1:21" x14ac:dyDescent="0.25">
      <c r="C10" s="52">
        <v>125001</v>
      </c>
      <c r="D10" s="52">
        <v>150000</v>
      </c>
      <c r="E10" s="52">
        <v>6</v>
      </c>
    </row>
    <row r="11" spans="1:21" x14ac:dyDescent="0.25"/>
    <row r="12" spans="1:21" x14ac:dyDescent="0.25">
      <c r="B12" s="27" t="s">
        <v>40</v>
      </c>
    </row>
    <row r="13" spans="1:21" x14ac:dyDescent="0.25">
      <c r="C13" s="53" t="s">
        <v>1</v>
      </c>
      <c r="D13" s="53" t="s">
        <v>109</v>
      </c>
      <c r="E13" s="53" t="s">
        <v>2</v>
      </c>
      <c r="F13" s="53" t="s">
        <v>3</v>
      </c>
      <c r="G13" s="53" t="s">
        <v>108</v>
      </c>
    </row>
    <row r="14" spans="1:21" x14ac:dyDescent="0.25">
      <c r="C14" s="54" t="s">
        <v>110</v>
      </c>
      <c r="D14" s="54" t="s">
        <v>111</v>
      </c>
      <c r="E14" s="54">
        <v>25</v>
      </c>
      <c r="F14" s="52">
        <v>23400</v>
      </c>
      <c r="G14" s="55">
        <f>IF(AND(F14&gt;C5,F14&lt;=D5),E5,IF(AND(F14&gt;=C6,F14&lt;=D6),E6,IF(AND(F14&gt;C7,F14&lt;=D7),E7,IF(AND(F14&gt;C8,F14&lt;=D8),E8,IF(AND(F14&gt;C9,F14&gt;=D9),E9,IF(AND(F14&gt;C10,F14&lt;=D10),E10,0))))))</f>
        <v>1</v>
      </c>
    </row>
    <row r="15" spans="1:21" x14ac:dyDescent="0.25">
      <c r="C15" s="54" t="s">
        <v>4</v>
      </c>
      <c r="D15" s="54" t="s">
        <v>112</v>
      </c>
      <c r="E15" s="54">
        <v>28</v>
      </c>
      <c r="F15" s="52">
        <v>26210</v>
      </c>
      <c r="G15" s="55">
        <f>IF(AND(F15&gt;$C$5,F15&lt;=$D$5),$E$5,IF(AND(F15&gt;=$C$6,F15&lt;=$D$6),$E$6,0))</f>
        <v>2</v>
      </c>
    </row>
    <row r="16" spans="1:21" x14ac:dyDescent="0.25">
      <c r="C16" s="54" t="s">
        <v>113</v>
      </c>
      <c r="D16" s="54" t="s">
        <v>111</v>
      </c>
      <c r="E16" s="54">
        <v>31</v>
      </c>
      <c r="F16" s="52">
        <v>32900</v>
      </c>
      <c r="G16" s="55">
        <f t="shared" ref="G16:G20" si="0">IF(AND(F16&gt;$C$5,F16&lt;=$D$5),$E$5,IF(AND(F16&gt;=$C$6,F16&lt;=$D$6),$E$6,0))</f>
        <v>2</v>
      </c>
    </row>
    <row r="17" spans="1:21" x14ac:dyDescent="0.25">
      <c r="C17" s="54" t="s">
        <v>114</v>
      </c>
      <c r="D17" s="54" t="s">
        <v>112</v>
      </c>
      <c r="E17" s="54">
        <v>24</v>
      </c>
      <c r="F17" s="52">
        <v>21300</v>
      </c>
      <c r="G17" s="55">
        <f t="shared" si="0"/>
        <v>1</v>
      </c>
    </row>
    <row r="18" spans="1:21" x14ac:dyDescent="0.25">
      <c r="C18" s="54" t="s">
        <v>115</v>
      </c>
      <c r="D18" s="54" t="s">
        <v>111</v>
      </c>
      <c r="E18" s="54">
        <v>31</v>
      </c>
      <c r="F18" s="52">
        <v>35400</v>
      </c>
      <c r="G18" s="55">
        <f t="shared" si="0"/>
        <v>2</v>
      </c>
    </row>
    <row r="19" spans="1:21" x14ac:dyDescent="0.25">
      <c r="C19" s="54" t="s">
        <v>116</v>
      </c>
      <c r="D19" s="54" t="s">
        <v>112</v>
      </c>
      <c r="E19" s="54">
        <v>23</v>
      </c>
      <c r="F19" s="52">
        <v>22740</v>
      </c>
      <c r="G19" s="55">
        <f t="shared" si="0"/>
        <v>1</v>
      </c>
    </row>
    <row r="20" spans="1:21" x14ac:dyDescent="0.25">
      <c r="C20" s="54" t="s">
        <v>117</v>
      </c>
      <c r="D20" s="54" t="s">
        <v>112</v>
      </c>
      <c r="E20" s="54">
        <v>24</v>
      </c>
      <c r="F20" s="52">
        <v>22108</v>
      </c>
      <c r="G20" s="55">
        <f t="shared" si="0"/>
        <v>1</v>
      </c>
    </row>
    <row r="21" spans="1:21" x14ac:dyDescent="0.25"/>
    <row r="22" spans="1:21" x14ac:dyDescent="0.25">
      <c r="A22" s="6" t="s">
        <v>39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1:21" x14ac:dyDescent="0.25"/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21"/>
  <sheetViews>
    <sheetView showGridLines="0" zoomScale="90" zoomScaleNormal="90" workbookViewId="0"/>
  </sheetViews>
  <sheetFormatPr defaultColWidth="0" defaultRowHeight="15" zeroHeight="1" x14ac:dyDescent="0.25"/>
  <cols>
    <col min="1" max="1" width="9.140625" customWidth="1"/>
    <col min="2" max="2" width="14.42578125" customWidth="1"/>
    <col min="3" max="3" width="9.140625" customWidth="1"/>
    <col min="4" max="4" width="8.85546875" bestFit="1" customWidth="1"/>
    <col min="5" max="6" width="9.140625" customWidth="1"/>
    <col min="7" max="7" width="11.42578125" customWidth="1"/>
    <col min="8" max="9" width="9.140625" customWidth="1"/>
    <col min="10" max="10" width="4.85546875" customWidth="1"/>
    <col min="11" max="11" width="0" hidden="1" customWidth="1"/>
    <col min="12" max="16384" width="9.140625" hidden="1"/>
  </cols>
  <sheetData>
    <row r="1" spans="1:9" ht="18" customHeight="1" x14ac:dyDescent="0.25">
      <c r="A1" s="1" t="s">
        <v>121</v>
      </c>
      <c r="B1" s="1"/>
      <c r="C1" s="1"/>
      <c r="D1" s="1"/>
      <c r="E1" s="1"/>
      <c r="F1" s="1"/>
      <c r="G1" s="1"/>
      <c r="H1" s="1"/>
      <c r="I1" s="1"/>
    </row>
    <row r="2" spans="1:9" ht="9.75" customHeight="1" x14ac:dyDescent="0.25"/>
    <row r="3" spans="1:9" x14ac:dyDescent="0.25">
      <c r="B3" s="27" t="s">
        <v>105</v>
      </c>
    </row>
    <row r="4" spans="1:9" ht="30" x14ac:dyDescent="0.25">
      <c r="C4" s="51" t="s">
        <v>106</v>
      </c>
      <c r="D4" s="51" t="s">
        <v>107</v>
      </c>
      <c r="E4" s="51" t="s">
        <v>108</v>
      </c>
    </row>
    <row r="5" spans="1:9" x14ac:dyDescent="0.25">
      <c r="C5" s="52">
        <v>0</v>
      </c>
      <c r="D5" s="52">
        <v>25000</v>
      </c>
      <c r="E5" s="52">
        <v>1</v>
      </c>
    </row>
    <row r="6" spans="1:9" x14ac:dyDescent="0.25">
      <c r="C6" s="52">
        <v>25001</v>
      </c>
      <c r="D6" s="52">
        <v>50000</v>
      </c>
      <c r="E6" s="52">
        <v>2</v>
      </c>
    </row>
    <row r="7" spans="1:9" ht="11.25" customHeight="1" x14ac:dyDescent="0.25"/>
    <row r="8" spans="1:9" x14ac:dyDescent="0.25">
      <c r="B8" s="27" t="s">
        <v>40</v>
      </c>
    </row>
    <row r="9" spans="1:9" x14ac:dyDescent="0.25">
      <c r="C9" s="53" t="s">
        <v>1</v>
      </c>
      <c r="D9" s="53" t="s">
        <v>109</v>
      </c>
      <c r="E9" s="53" t="s">
        <v>2</v>
      </c>
      <c r="F9" s="53" t="s">
        <v>3</v>
      </c>
      <c r="G9" s="53" t="s">
        <v>108</v>
      </c>
    </row>
    <row r="10" spans="1:9" x14ac:dyDescent="0.25">
      <c r="C10" s="54" t="s">
        <v>110</v>
      </c>
      <c r="D10" s="54" t="s">
        <v>111</v>
      </c>
      <c r="E10" s="54">
        <v>25</v>
      </c>
      <c r="F10" s="52">
        <v>23400</v>
      </c>
      <c r="G10" s="55">
        <f>IF(OR(F10&gt;C5,F10&lt;=D5),E5,IF(OR(F10&gt;=C6,F10&lt;=D6),E6,0))</f>
        <v>1</v>
      </c>
    </row>
    <row r="11" spans="1:9" x14ac:dyDescent="0.25">
      <c r="C11" s="54" t="s">
        <v>4</v>
      </c>
      <c r="D11" s="54" t="s">
        <v>112</v>
      </c>
      <c r="E11" s="54">
        <v>28</v>
      </c>
      <c r="F11" s="52">
        <v>26210</v>
      </c>
      <c r="G11" s="55">
        <f t="shared" ref="G11:G18" si="0">IF(OR(F11&gt;$C$5,F11&lt;=$D$5),$E$5,IF(OR(F11&gt;=$C$6,F11&lt;=$D$6),$E$6,0))</f>
        <v>1</v>
      </c>
    </row>
    <row r="12" spans="1:9" x14ac:dyDescent="0.25">
      <c r="C12" s="54" t="s">
        <v>113</v>
      </c>
      <c r="D12" s="54" t="s">
        <v>111</v>
      </c>
      <c r="E12" s="54">
        <v>31</v>
      </c>
      <c r="F12" s="52">
        <v>32900</v>
      </c>
      <c r="G12" s="55">
        <f t="shared" si="0"/>
        <v>1</v>
      </c>
    </row>
    <row r="13" spans="1:9" x14ac:dyDescent="0.25">
      <c r="C13" s="54" t="s">
        <v>114</v>
      </c>
      <c r="D13" s="54" t="s">
        <v>112</v>
      </c>
      <c r="E13" s="54">
        <v>24</v>
      </c>
      <c r="F13" s="52">
        <v>21300</v>
      </c>
      <c r="G13" s="55">
        <f t="shared" si="0"/>
        <v>1</v>
      </c>
    </row>
    <row r="14" spans="1:9" x14ac:dyDescent="0.25">
      <c r="C14" s="54" t="s">
        <v>115</v>
      </c>
      <c r="D14" s="54" t="s">
        <v>111</v>
      </c>
      <c r="E14" s="54">
        <v>31</v>
      </c>
      <c r="F14" s="52">
        <v>35400</v>
      </c>
      <c r="G14" s="55">
        <f t="shared" si="0"/>
        <v>1</v>
      </c>
    </row>
    <row r="15" spans="1:9" x14ac:dyDescent="0.25">
      <c r="C15" s="54" t="s">
        <v>116</v>
      </c>
      <c r="D15" s="54" t="s">
        <v>112</v>
      </c>
      <c r="E15" s="54">
        <v>23</v>
      </c>
      <c r="F15" s="52">
        <v>22740</v>
      </c>
      <c r="G15" s="55">
        <f t="shared" si="0"/>
        <v>1</v>
      </c>
    </row>
    <row r="16" spans="1:9" x14ac:dyDescent="0.25">
      <c r="C16" s="54" t="s">
        <v>117</v>
      </c>
      <c r="D16" s="54" t="s">
        <v>112</v>
      </c>
      <c r="E16" s="54">
        <v>24</v>
      </c>
      <c r="F16" s="52">
        <v>22108</v>
      </c>
      <c r="G16" s="55">
        <f t="shared" si="0"/>
        <v>1</v>
      </c>
    </row>
    <row r="17" spans="1:9" x14ac:dyDescent="0.25">
      <c r="C17" s="54" t="s">
        <v>54</v>
      </c>
      <c r="D17" s="54" t="s">
        <v>111</v>
      </c>
      <c r="E17" s="54">
        <v>29</v>
      </c>
      <c r="F17" s="52">
        <v>34500</v>
      </c>
      <c r="G17" s="55">
        <f t="shared" si="0"/>
        <v>1</v>
      </c>
    </row>
    <row r="18" spans="1:9" x14ac:dyDescent="0.25">
      <c r="C18" s="54" t="s">
        <v>118</v>
      </c>
      <c r="D18" s="54" t="s">
        <v>112</v>
      </c>
      <c r="E18" s="54">
        <v>32</v>
      </c>
      <c r="F18" s="52">
        <v>32750</v>
      </c>
      <c r="G18" s="55">
        <f t="shared" si="0"/>
        <v>1</v>
      </c>
    </row>
    <row r="19" spans="1:9" x14ac:dyDescent="0.25"/>
    <row r="20" spans="1:9" x14ac:dyDescent="0.25">
      <c r="A20" s="6" t="s">
        <v>39</v>
      </c>
      <c r="B20" s="6"/>
      <c r="C20" s="6"/>
      <c r="D20" s="6"/>
      <c r="E20" s="6"/>
      <c r="F20" s="6"/>
      <c r="G20" s="6"/>
      <c r="H20" s="6"/>
      <c r="I20" s="6"/>
    </row>
    <row r="21" spans="1:9" x14ac:dyDescent="0.25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19"/>
  <sheetViews>
    <sheetView showGridLines="0" zoomScale="90" zoomScaleNormal="90" workbookViewId="0">
      <selection activeCell="G16" sqref="G16"/>
    </sheetView>
  </sheetViews>
  <sheetFormatPr defaultColWidth="0" defaultRowHeight="15" zeroHeight="1" x14ac:dyDescent="0.25"/>
  <cols>
    <col min="1" max="1" width="9.140625" customWidth="1"/>
    <col min="2" max="2" width="14.42578125" customWidth="1"/>
    <col min="3" max="3" width="9.140625" customWidth="1"/>
    <col min="4" max="4" width="7.7109375" bestFit="1" customWidth="1"/>
    <col min="5" max="5" width="4.42578125" bestFit="1" customWidth="1"/>
    <col min="6" max="6" width="13.140625" customWidth="1"/>
    <col min="7" max="7" width="11.42578125" customWidth="1"/>
    <col min="8" max="8" width="10.85546875" customWidth="1"/>
    <col min="9" max="9" width="3.140625" customWidth="1"/>
    <col min="10" max="16384" width="9.140625" hidden="1"/>
  </cols>
  <sheetData>
    <row r="1" spans="1:8" ht="15" customHeight="1" x14ac:dyDescent="0.25">
      <c r="A1" s="1" t="s">
        <v>124</v>
      </c>
      <c r="B1" s="1"/>
      <c r="C1" s="1"/>
      <c r="D1" s="1"/>
      <c r="E1" s="1"/>
      <c r="F1" s="1"/>
      <c r="G1" s="1"/>
      <c r="H1" s="1"/>
    </row>
    <row r="2" spans="1:8" ht="15" customHeight="1" x14ac:dyDescent="0.25"/>
    <row r="3" spans="1:8" x14ac:dyDescent="0.25">
      <c r="B3" s="27" t="s">
        <v>40</v>
      </c>
    </row>
    <row r="4" spans="1:8" x14ac:dyDescent="0.25">
      <c r="C4" s="53" t="s">
        <v>1</v>
      </c>
      <c r="D4" s="53" t="s">
        <v>109</v>
      </c>
      <c r="E4" s="53" t="s">
        <v>2</v>
      </c>
      <c r="F4" s="53" t="s">
        <v>192</v>
      </c>
      <c r="G4" s="53" t="s">
        <v>123</v>
      </c>
    </row>
    <row r="5" spans="1:8" x14ac:dyDescent="0.25">
      <c r="C5" s="54" t="s">
        <v>110</v>
      </c>
      <c r="D5" s="54" t="s">
        <v>111</v>
      </c>
      <c r="E5" s="54">
        <v>25</v>
      </c>
      <c r="F5" s="57">
        <v>19</v>
      </c>
      <c r="G5" s="52">
        <v>250</v>
      </c>
    </row>
    <row r="6" spans="1:8" x14ac:dyDescent="0.25">
      <c r="C6" s="54" t="s">
        <v>4</v>
      </c>
      <c r="D6" s="54" t="s">
        <v>112</v>
      </c>
      <c r="E6" s="54">
        <v>28</v>
      </c>
      <c r="F6" s="57">
        <v>19</v>
      </c>
      <c r="G6" s="52">
        <v>270</v>
      </c>
    </row>
    <row r="7" spans="1:8" x14ac:dyDescent="0.25">
      <c r="C7" s="54" t="s">
        <v>113</v>
      </c>
      <c r="D7" s="54" t="s">
        <v>111</v>
      </c>
      <c r="E7" s="54">
        <v>31</v>
      </c>
      <c r="F7" s="57">
        <v>19</v>
      </c>
      <c r="G7" s="52">
        <v>290</v>
      </c>
    </row>
    <row r="8" spans="1:8" x14ac:dyDescent="0.25">
      <c r="C8" s="54" t="s">
        <v>114</v>
      </c>
      <c r="D8" s="54" t="s">
        <v>112</v>
      </c>
      <c r="E8" s="54">
        <v>24</v>
      </c>
      <c r="F8" s="57">
        <v>16.5</v>
      </c>
      <c r="G8" s="52">
        <v>195</v>
      </c>
    </row>
    <row r="9" spans="1:8" x14ac:dyDescent="0.25">
      <c r="C9" s="54" t="s">
        <v>115</v>
      </c>
      <c r="D9" s="54" t="s">
        <v>111</v>
      </c>
      <c r="E9" s="54">
        <v>31</v>
      </c>
      <c r="F9" s="57">
        <v>18</v>
      </c>
      <c r="G9" s="52">
        <v>250</v>
      </c>
    </row>
    <row r="10" spans="1:8" x14ac:dyDescent="0.25">
      <c r="C10" s="54" t="s">
        <v>116</v>
      </c>
      <c r="D10" s="54" t="s">
        <v>112</v>
      </c>
      <c r="E10" s="54">
        <v>23</v>
      </c>
      <c r="F10" s="57">
        <v>19</v>
      </c>
      <c r="G10" s="52">
        <v>200</v>
      </c>
    </row>
    <row r="11" spans="1:8" x14ac:dyDescent="0.25">
      <c r="C11" s="54" t="s">
        <v>117</v>
      </c>
      <c r="D11" s="54" t="s">
        <v>112</v>
      </c>
      <c r="E11" s="54">
        <v>24</v>
      </c>
      <c r="F11" s="57">
        <v>17.5</v>
      </c>
      <c r="G11" s="52">
        <v>180</v>
      </c>
    </row>
    <row r="12" spans="1:8" x14ac:dyDescent="0.25">
      <c r="C12" s="54" t="s">
        <v>54</v>
      </c>
      <c r="D12" s="54" t="s">
        <v>111</v>
      </c>
      <c r="E12" s="54">
        <v>29</v>
      </c>
      <c r="F12" s="57">
        <v>17.5</v>
      </c>
      <c r="G12" s="52">
        <v>210</v>
      </c>
    </row>
    <row r="13" spans="1:8" x14ac:dyDescent="0.25">
      <c r="C13" s="54" t="s">
        <v>118</v>
      </c>
      <c r="D13" s="54" t="s">
        <v>112</v>
      </c>
      <c r="E13" s="54">
        <v>32</v>
      </c>
      <c r="F13" s="57">
        <v>17.5</v>
      </c>
      <c r="G13" s="52">
        <v>250</v>
      </c>
    </row>
    <row r="14" spans="1:8" x14ac:dyDescent="0.25"/>
    <row r="15" spans="1:8" x14ac:dyDescent="0.25"/>
    <row r="16" spans="1:8" x14ac:dyDescent="0.25">
      <c r="B16" s="60" t="s">
        <v>173</v>
      </c>
      <c r="G16" s="59">
        <f>SUMPRODUCT(F5:F13,G5:G13)</f>
        <v>38107.5</v>
      </c>
    </row>
    <row r="17" spans="1:8" x14ac:dyDescent="0.25"/>
    <row r="18" spans="1:8" x14ac:dyDescent="0.25">
      <c r="A18" s="6" t="s">
        <v>39</v>
      </c>
      <c r="B18" s="6"/>
      <c r="C18" s="6"/>
      <c r="D18" s="6"/>
      <c r="E18" s="6"/>
      <c r="F18" s="6"/>
      <c r="G18" s="6"/>
      <c r="H18" s="6"/>
    </row>
    <row r="19" spans="1:8" x14ac:dyDescent="0.25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I19"/>
  <sheetViews>
    <sheetView showGridLines="0" zoomScale="90" zoomScaleNormal="90" workbookViewId="0">
      <selection activeCell="H5" sqref="H5"/>
    </sheetView>
  </sheetViews>
  <sheetFormatPr defaultColWidth="0" defaultRowHeight="15" customHeight="1" zeroHeight="1" x14ac:dyDescent="0.25"/>
  <cols>
    <col min="1" max="1" width="9.140625" customWidth="1"/>
    <col min="2" max="2" width="14.42578125" customWidth="1"/>
    <col min="3" max="3" width="9.140625" customWidth="1"/>
    <col min="4" max="4" width="7.7109375" bestFit="1" customWidth="1"/>
    <col min="5" max="5" width="4.42578125" bestFit="1" customWidth="1"/>
    <col min="6" max="6" width="13.140625" customWidth="1"/>
    <col min="7" max="7" width="11.42578125" customWidth="1"/>
    <col min="8" max="8" width="10.85546875" customWidth="1"/>
    <col min="9" max="9" width="3.140625" customWidth="1"/>
    <col min="10" max="16384" width="9.140625" hidden="1"/>
  </cols>
  <sheetData>
    <row r="1" spans="1:8" ht="15" customHeight="1" x14ac:dyDescent="0.25">
      <c r="A1" s="1" t="s">
        <v>124</v>
      </c>
      <c r="B1" s="1"/>
      <c r="C1" s="1"/>
      <c r="D1" s="1"/>
      <c r="E1" s="1"/>
      <c r="F1" s="1"/>
      <c r="G1" s="1"/>
      <c r="H1" s="1"/>
    </row>
    <row r="2" spans="1:8" ht="15" customHeight="1" x14ac:dyDescent="0.25"/>
    <row r="3" spans="1:8" x14ac:dyDescent="0.25">
      <c r="B3" s="27" t="s">
        <v>40</v>
      </c>
    </row>
    <row r="4" spans="1:8" x14ac:dyDescent="0.25">
      <c r="C4" s="53" t="s">
        <v>1</v>
      </c>
      <c r="D4" s="53" t="s">
        <v>109</v>
      </c>
      <c r="E4" s="53" t="s">
        <v>2</v>
      </c>
      <c r="F4" s="53" t="s">
        <v>122</v>
      </c>
      <c r="G4" s="53" t="s">
        <v>123</v>
      </c>
      <c r="H4" s="53" t="s">
        <v>102</v>
      </c>
    </row>
    <row r="5" spans="1:8" x14ac:dyDescent="0.25">
      <c r="C5" s="54" t="s">
        <v>110</v>
      </c>
      <c r="D5" s="54" t="s">
        <v>111</v>
      </c>
      <c r="E5" s="54">
        <v>25</v>
      </c>
      <c r="F5" s="57">
        <v>19</v>
      </c>
      <c r="G5" s="52">
        <v>250</v>
      </c>
      <c r="H5" s="58">
        <f>F5*G5</f>
        <v>4750</v>
      </c>
    </row>
    <row r="6" spans="1:8" x14ac:dyDescent="0.25">
      <c r="C6" s="54" t="s">
        <v>4</v>
      </c>
      <c r="D6" s="54" t="s">
        <v>112</v>
      </c>
      <c r="E6" s="54">
        <v>28</v>
      </c>
      <c r="F6" s="57">
        <v>19</v>
      </c>
      <c r="G6" s="52">
        <v>270</v>
      </c>
      <c r="H6" s="58">
        <f t="shared" ref="H6:H13" si="0">F6*G6</f>
        <v>5130</v>
      </c>
    </row>
    <row r="7" spans="1:8" x14ac:dyDescent="0.25">
      <c r="C7" s="54" t="s">
        <v>113</v>
      </c>
      <c r="D7" s="54" t="s">
        <v>111</v>
      </c>
      <c r="E7" s="54">
        <v>31</v>
      </c>
      <c r="F7" s="57">
        <v>19</v>
      </c>
      <c r="G7" s="52">
        <v>290</v>
      </c>
      <c r="H7" s="58">
        <f t="shared" si="0"/>
        <v>5510</v>
      </c>
    </row>
    <row r="8" spans="1:8" x14ac:dyDescent="0.25">
      <c r="C8" s="54" t="s">
        <v>114</v>
      </c>
      <c r="D8" s="54" t="s">
        <v>112</v>
      </c>
      <c r="E8" s="54">
        <v>24</v>
      </c>
      <c r="F8" s="57">
        <v>16.5</v>
      </c>
      <c r="G8" s="52">
        <v>195</v>
      </c>
      <c r="H8" s="58">
        <f t="shared" si="0"/>
        <v>3217.5</v>
      </c>
    </row>
    <row r="9" spans="1:8" x14ac:dyDescent="0.25">
      <c r="C9" s="54" t="s">
        <v>115</v>
      </c>
      <c r="D9" s="54" t="s">
        <v>111</v>
      </c>
      <c r="E9" s="54">
        <v>31</v>
      </c>
      <c r="F9" s="57">
        <v>18</v>
      </c>
      <c r="G9" s="52">
        <v>250</v>
      </c>
      <c r="H9" s="58">
        <f t="shared" si="0"/>
        <v>4500</v>
      </c>
    </row>
    <row r="10" spans="1:8" x14ac:dyDescent="0.25">
      <c r="C10" s="54" t="s">
        <v>116</v>
      </c>
      <c r="D10" s="54" t="s">
        <v>112</v>
      </c>
      <c r="E10" s="54">
        <v>23</v>
      </c>
      <c r="F10" s="57">
        <v>19</v>
      </c>
      <c r="G10" s="52">
        <v>200</v>
      </c>
      <c r="H10" s="58">
        <f t="shared" si="0"/>
        <v>3800</v>
      </c>
    </row>
    <row r="11" spans="1:8" x14ac:dyDescent="0.25">
      <c r="C11" s="54" t="s">
        <v>117</v>
      </c>
      <c r="D11" s="54" t="s">
        <v>112</v>
      </c>
      <c r="E11" s="54">
        <v>24</v>
      </c>
      <c r="F11" s="57">
        <v>17.5</v>
      </c>
      <c r="G11" s="52">
        <v>180</v>
      </c>
      <c r="H11" s="58">
        <f t="shared" si="0"/>
        <v>3150</v>
      </c>
    </row>
    <row r="12" spans="1:8" x14ac:dyDescent="0.25">
      <c r="C12" s="54" t="s">
        <v>54</v>
      </c>
      <c r="D12" s="54" t="s">
        <v>111</v>
      </c>
      <c r="E12" s="54">
        <v>29</v>
      </c>
      <c r="F12" s="57">
        <v>17.5</v>
      </c>
      <c r="G12" s="52">
        <v>210</v>
      </c>
      <c r="H12" s="58">
        <f t="shared" si="0"/>
        <v>3675</v>
      </c>
    </row>
    <row r="13" spans="1:8" x14ac:dyDescent="0.25">
      <c r="C13" s="54" t="s">
        <v>118</v>
      </c>
      <c r="D13" s="54" t="s">
        <v>112</v>
      </c>
      <c r="E13" s="54">
        <v>32</v>
      </c>
      <c r="F13" s="57">
        <v>17.5</v>
      </c>
      <c r="G13" s="52">
        <v>250</v>
      </c>
      <c r="H13" s="58">
        <f t="shared" si="0"/>
        <v>4375</v>
      </c>
    </row>
    <row r="14" spans="1:8" x14ac:dyDescent="0.25">
      <c r="H14" s="59">
        <f>SUM(H5:H13)</f>
        <v>38107.5</v>
      </c>
    </row>
    <row r="15" spans="1:8" x14ac:dyDescent="0.25"/>
    <row r="16" spans="1:8" x14ac:dyDescent="0.25">
      <c r="B16" s="60" t="s">
        <v>173</v>
      </c>
      <c r="G16" s="59">
        <f>SUMPRODUCT(F5:F13,G5:G13)</f>
        <v>38107.5</v>
      </c>
    </row>
    <row r="17" spans="1:8" x14ac:dyDescent="0.25"/>
    <row r="18" spans="1:8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10"/>
  <sheetViews>
    <sheetView showGridLines="0" workbookViewId="0">
      <selection activeCell="F5" sqref="F5"/>
    </sheetView>
  </sheetViews>
  <sheetFormatPr defaultColWidth="0" defaultRowHeight="15" zeroHeight="1" x14ac:dyDescent="0.25"/>
  <cols>
    <col min="1" max="1" width="1.5703125" customWidth="1"/>
    <col min="2" max="2" width="26" customWidth="1"/>
    <col min="3" max="3" width="7.7109375" bestFit="1" customWidth="1"/>
    <col min="4" max="4" width="33.28515625" customWidth="1"/>
    <col min="5" max="5" width="8.85546875" bestFit="1" customWidth="1"/>
    <col min="6" max="6" width="10.7109375" bestFit="1" customWidth="1"/>
    <col min="7" max="7" width="3.5703125" customWidth="1"/>
    <col min="8" max="8" width="34.140625" customWidth="1"/>
    <col min="9" max="9" width="3" customWidth="1"/>
    <col min="10" max="16384" width="9.140625" hidden="1"/>
  </cols>
  <sheetData>
    <row r="1" spans="1:8" x14ac:dyDescent="0.25">
      <c r="A1" s="1" t="s">
        <v>134</v>
      </c>
      <c r="B1" s="1"/>
      <c r="C1" s="1"/>
      <c r="D1" s="1"/>
      <c r="E1" s="1"/>
      <c r="F1" s="1"/>
      <c r="G1" s="1"/>
      <c r="H1" s="1"/>
    </row>
    <row r="2" spans="1:8" x14ac:dyDescent="0.25"/>
    <row r="3" spans="1:8" x14ac:dyDescent="0.25"/>
    <row r="4" spans="1:8" x14ac:dyDescent="0.25">
      <c r="B4" s="61" t="s">
        <v>125</v>
      </c>
      <c r="C4" s="61" t="s">
        <v>126</v>
      </c>
      <c r="D4" s="61" t="s">
        <v>127</v>
      </c>
      <c r="E4" s="61" t="s">
        <v>128</v>
      </c>
      <c r="F4" s="61" t="s">
        <v>25</v>
      </c>
      <c r="H4" s="61" t="s">
        <v>129</v>
      </c>
    </row>
    <row r="5" spans="1:8" x14ac:dyDescent="0.25">
      <c r="B5" s="62" t="s">
        <v>130</v>
      </c>
      <c r="C5" s="63" t="s">
        <v>131</v>
      </c>
      <c r="D5" s="63" t="s">
        <v>132</v>
      </c>
      <c r="E5" s="63" t="s">
        <v>133</v>
      </c>
      <c r="F5" s="109">
        <v>41476</v>
      </c>
      <c r="H5" s="64" t="str">
        <f t="shared" ref="H5:H7" si="0">LinkAddress(B5,"")</f>
        <v>Archive\financial_modeling_Repository.docx</v>
      </c>
    </row>
    <row r="6" spans="1:8" x14ac:dyDescent="0.25">
      <c r="B6" s="23"/>
      <c r="C6" s="23"/>
      <c r="D6" s="23"/>
      <c r="E6" s="23"/>
      <c r="F6" s="23"/>
      <c r="H6" s="64" t="str">
        <f t="shared" si="0"/>
        <v/>
      </c>
    </row>
    <row r="7" spans="1:8" x14ac:dyDescent="0.25">
      <c r="B7" s="23"/>
      <c r="C7" s="23"/>
      <c r="D7" s="23"/>
      <c r="E7" s="23"/>
      <c r="F7" s="23"/>
      <c r="H7" s="64" t="str">
        <f t="shared" si="0"/>
        <v/>
      </c>
    </row>
    <row r="8" spans="1:8" x14ac:dyDescent="0.25"/>
    <row r="9" spans="1:8" x14ac:dyDescent="0.25">
      <c r="A9" s="6" t="s">
        <v>39</v>
      </c>
      <c r="B9" s="6"/>
      <c r="C9" s="6"/>
      <c r="D9" s="6"/>
      <c r="E9" s="6"/>
      <c r="F9" s="6"/>
      <c r="G9" s="6"/>
      <c r="H9" s="6"/>
    </row>
    <row r="10" spans="1:8" x14ac:dyDescent="0.25"/>
  </sheetData>
  <hyperlinks>
    <hyperlink ref="B5" r:id="rId1"/>
  </hyperlinks>
  <pageMargins left="0.7" right="0.7" top="0.75" bottom="0.75" header="0.3" footer="0.3"/>
  <pageSetup paperSize="9"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H13"/>
  <sheetViews>
    <sheetView showGridLines="0" workbookViewId="0">
      <selection activeCell="D6" sqref="D6"/>
    </sheetView>
  </sheetViews>
  <sheetFormatPr defaultColWidth="0" defaultRowHeight="15" zeroHeight="1" x14ac:dyDescent="0.25"/>
  <cols>
    <col min="1" max="7" width="9.140625" customWidth="1"/>
    <col min="8" max="8" width="4.5703125" customWidth="1"/>
    <col min="9" max="16384" width="9.140625" hidden="1"/>
  </cols>
  <sheetData>
    <row r="1" spans="1:7" x14ac:dyDescent="0.25">
      <c r="A1" s="1" t="s">
        <v>134</v>
      </c>
      <c r="B1" s="1"/>
      <c r="C1" s="1"/>
      <c r="D1" s="1"/>
      <c r="E1" s="1"/>
      <c r="F1" s="1"/>
      <c r="G1" s="1"/>
    </row>
    <row r="2" spans="1:7" x14ac:dyDescent="0.25"/>
    <row r="3" spans="1:7" x14ac:dyDescent="0.25">
      <c r="B3" s="27" t="s">
        <v>58</v>
      </c>
    </row>
    <row r="4" spans="1:7" x14ac:dyDescent="0.25">
      <c r="C4" t="s">
        <v>135</v>
      </c>
      <c r="D4" s="23">
        <v>2</v>
      </c>
    </row>
    <row r="5" spans="1:7" x14ac:dyDescent="0.25">
      <c r="C5" t="s">
        <v>136</v>
      </c>
      <c r="D5" s="23">
        <v>6</v>
      </c>
    </row>
    <row r="6" spans="1:7" x14ac:dyDescent="0.25"/>
    <row r="7" spans="1:7" x14ac:dyDescent="0.25"/>
    <row r="8" spans="1:7" x14ac:dyDescent="0.25">
      <c r="B8" s="27" t="s">
        <v>41</v>
      </c>
    </row>
    <row r="9" spans="1:7" x14ac:dyDescent="0.25">
      <c r="C9" t="s">
        <v>137</v>
      </c>
      <c r="E9" s="66">
        <f>EFFINDEX(D4,D5,0)</f>
        <v>0.33333333333333331</v>
      </c>
    </row>
    <row r="10" spans="1:7" x14ac:dyDescent="0.25"/>
    <row r="11" spans="1:7" x14ac:dyDescent="0.25"/>
    <row r="12" spans="1:7" x14ac:dyDescent="0.25">
      <c r="A12" s="6" t="s">
        <v>39</v>
      </c>
      <c r="B12" s="6"/>
      <c r="C12" s="6"/>
      <c r="D12" s="6"/>
      <c r="E12" s="6"/>
      <c r="F12" s="6"/>
      <c r="G12" s="6"/>
    </row>
    <row r="13" spans="1:7" x14ac:dyDescent="0.25"/>
  </sheetData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H13"/>
  <sheetViews>
    <sheetView showGridLines="0" workbookViewId="0">
      <selection activeCell="D5" sqref="D5"/>
    </sheetView>
  </sheetViews>
  <sheetFormatPr defaultColWidth="0" defaultRowHeight="15" customHeight="1" zeroHeight="1" x14ac:dyDescent="0.25"/>
  <cols>
    <col min="1" max="7" width="9.140625" customWidth="1"/>
    <col min="8" max="8" width="4.5703125" customWidth="1"/>
    <col min="9" max="16384" width="9.140625" hidden="1"/>
  </cols>
  <sheetData>
    <row r="1" spans="1:7" x14ac:dyDescent="0.25">
      <c r="A1" s="1" t="s">
        <v>134</v>
      </c>
      <c r="B1" s="1"/>
      <c r="C1" s="1"/>
      <c r="D1" s="1"/>
      <c r="E1" s="1"/>
      <c r="F1" s="1"/>
      <c r="G1" s="1"/>
    </row>
    <row r="2" spans="1:7" x14ac:dyDescent="0.25"/>
    <row r="3" spans="1:7" x14ac:dyDescent="0.25">
      <c r="B3" s="27" t="s">
        <v>58</v>
      </c>
    </row>
    <row r="4" spans="1:7" x14ac:dyDescent="0.25">
      <c r="C4" t="s">
        <v>135</v>
      </c>
      <c r="D4" s="23">
        <v>0</v>
      </c>
    </row>
    <row r="5" spans="1:7" x14ac:dyDescent="0.25">
      <c r="C5" t="s">
        <v>136</v>
      </c>
      <c r="D5" s="23">
        <v>2</v>
      </c>
    </row>
    <row r="6" spans="1:7" x14ac:dyDescent="0.25"/>
    <row r="7" spans="1:7" x14ac:dyDescent="0.25"/>
    <row r="8" spans="1:7" x14ac:dyDescent="0.25">
      <c r="B8" s="27" t="s">
        <v>41</v>
      </c>
    </row>
    <row r="9" spans="1:7" x14ac:dyDescent="0.25">
      <c r="C9" t="s">
        <v>137</v>
      </c>
      <c r="E9" s="66">
        <f>EFFINDEX(D4,D5,0)</f>
        <v>0</v>
      </c>
    </row>
    <row r="10" spans="1:7" x14ac:dyDescent="0.25"/>
    <row r="11" spans="1:7" x14ac:dyDescent="0.25"/>
    <row r="12" spans="1:7" x14ac:dyDescent="0.25">
      <c r="A12" s="6" t="s">
        <v>39</v>
      </c>
      <c r="B12" s="6"/>
      <c r="C12" s="6"/>
      <c r="D12" s="6"/>
      <c r="E12" s="6"/>
      <c r="F12" s="6"/>
      <c r="G12" s="6"/>
    </row>
    <row r="13" spans="1:7" x14ac:dyDescent="0.25"/>
  </sheetData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H21"/>
  <sheetViews>
    <sheetView showGridLines="0" workbookViewId="0">
      <selection activeCell="F17" sqref="F16:F17"/>
    </sheetView>
  </sheetViews>
  <sheetFormatPr defaultColWidth="0" defaultRowHeight="15" zeroHeight="1" x14ac:dyDescent="0.25"/>
  <cols>
    <col min="1" max="1" width="5.140625" customWidth="1"/>
    <col min="2" max="7" width="9.140625" customWidth="1"/>
    <col min="8" max="8" width="3.42578125" customWidth="1"/>
    <col min="9" max="16384" width="9.140625" hidden="1"/>
  </cols>
  <sheetData>
    <row r="1" spans="1:7" x14ac:dyDescent="0.25">
      <c r="A1" s="1" t="s">
        <v>134</v>
      </c>
      <c r="B1" s="1"/>
      <c r="C1" s="1"/>
      <c r="D1" s="1"/>
      <c r="E1" s="1"/>
      <c r="F1" s="1"/>
      <c r="G1" s="1"/>
    </row>
    <row r="2" spans="1:7" x14ac:dyDescent="0.25"/>
    <row r="3" spans="1:7" x14ac:dyDescent="0.25">
      <c r="B3" s="27" t="s">
        <v>138</v>
      </c>
    </row>
    <row r="4" spans="1:7" x14ac:dyDescent="0.25">
      <c r="C4" s="69">
        <v>1000</v>
      </c>
    </row>
    <row r="5" spans="1:7" x14ac:dyDescent="0.25">
      <c r="C5" s="67">
        <v>2000</v>
      </c>
    </row>
    <row r="6" spans="1:7" x14ac:dyDescent="0.25">
      <c r="C6" s="69">
        <v>4000</v>
      </c>
    </row>
    <row r="7" spans="1:7" x14ac:dyDescent="0.25">
      <c r="C7" s="26">
        <v>8000</v>
      </c>
    </row>
    <row r="8" spans="1:7" x14ac:dyDescent="0.25">
      <c r="C8" s="26">
        <v>12000</v>
      </c>
    </row>
    <row r="9" spans="1:7" x14ac:dyDescent="0.25">
      <c r="C9" s="67">
        <v>4500</v>
      </c>
    </row>
    <row r="10" spans="1:7" x14ac:dyDescent="0.25">
      <c r="C10" s="69">
        <v>1200</v>
      </c>
    </row>
    <row r="11" spans="1:7" x14ac:dyDescent="0.25">
      <c r="C11" s="26">
        <v>3250</v>
      </c>
    </row>
    <row r="12" spans="1:7" x14ac:dyDescent="0.25">
      <c r="C12" s="69">
        <v>8100</v>
      </c>
    </row>
    <row r="13" spans="1:7" x14ac:dyDescent="0.25"/>
    <row r="14" spans="1:7" x14ac:dyDescent="0.25">
      <c r="B14" s="27" t="s">
        <v>139</v>
      </c>
    </row>
    <row r="15" spans="1:7" x14ac:dyDescent="0.25"/>
    <row r="16" spans="1:7" x14ac:dyDescent="0.25">
      <c r="B16" s="67"/>
      <c r="C16">
        <f>SumColor(B16,C4:C12)</f>
        <v>6500</v>
      </c>
    </row>
    <row r="17" spans="1:7" x14ac:dyDescent="0.25">
      <c r="B17" s="68"/>
      <c r="C17">
        <f>SumColor(B17,C4:C12)</f>
        <v>14300</v>
      </c>
    </row>
    <row r="18" spans="1:7" x14ac:dyDescent="0.25">
      <c r="B18" s="65"/>
      <c r="C18">
        <f>SumColor(B18,C4:C12)</f>
        <v>23250</v>
      </c>
    </row>
    <row r="19" spans="1:7" x14ac:dyDescent="0.25"/>
    <row r="20" spans="1:7" x14ac:dyDescent="0.25">
      <c r="A20" s="6" t="s">
        <v>39</v>
      </c>
      <c r="B20" s="6"/>
      <c r="C20" s="6"/>
      <c r="D20" s="6"/>
      <c r="E20" s="6"/>
      <c r="F20" s="6"/>
      <c r="G20" s="6"/>
    </row>
    <row r="21" spans="1:7" x14ac:dyDescent="0.25"/>
  </sheetData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H21"/>
  <sheetViews>
    <sheetView showGridLines="0" workbookViewId="0">
      <selection activeCell="C6" sqref="C6"/>
    </sheetView>
  </sheetViews>
  <sheetFormatPr defaultColWidth="0" defaultRowHeight="15" customHeight="1" zeroHeight="1" x14ac:dyDescent="0.25"/>
  <cols>
    <col min="1" max="1" width="5.140625" customWidth="1"/>
    <col min="2" max="2" width="25.28515625" customWidth="1"/>
    <col min="3" max="7" width="9.140625" customWidth="1"/>
    <col min="8" max="8" width="3.42578125" customWidth="1"/>
    <col min="9" max="16384" width="9.140625" hidden="1"/>
  </cols>
  <sheetData>
    <row r="1" spans="1:7" x14ac:dyDescent="0.25">
      <c r="A1" s="1" t="s">
        <v>184</v>
      </c>
      <c r="B1" s="1"/>
      <c r="C1" s="1"/>
      <c r="D1" s="1"/>
      <c r="E1" s="1"/>
      <c r="F1" s="1"/>
      <c r="G1" s="1"/>
    </row>
    <row r="2" spans="1:7" x14ac:dyDescent="0.25"/>
    <row r="3" spans="1:7" x14ac:dyDescent="0.25"/>
    <row r="4" spans="1:7" x14ac:dyDescent="0.25">
      <c r="B4" t="s">
        <v>185</v>
      </c>
      <c r="C4" s="97" t="s">
        <v>4</v>
      </c>
    </row>
    <row r="5" spans="1:7" x14ac:dyDescent="0.25"/>
    <row r="6" spans="1:7" x14ac:dyDescent="0.25">
      <c r="B6" t="s">
        <v>186</v>
      </c>
      <c r="C6" s="15" t="b">
        <f>ISDATE(C4)</f>
        <v>0</v>
      </c>
    </row>
    <row r="7" spans="1:7" x14ac:dyDescent="0.25"/>
    <row r="8" spans="1:7" x14ac:dyDescent="0.25"/>
    <row r="9" spans="1:7" x14ac:dyDescent="0.25"/>
    <row r="10" spans="1:7" x14ac:dyDescent="0.25">
      <c r="A10" s="6" t="s">
        <v>39</v>
      </c>
      <c r="B10" s="6"/>
      <c r="C10" s="6"/>
      <c r="D10" s="6"/>
      <c r="E10" s="6"/>
      <c r="F10" s="6"/>
      <c r="G10" s="6"/>
    </row>
    <row r="11" spans="1:7" x14ac:dyDescent="0.25"/>
    <row r="12" spans="1:7" ht="15" hidden="1" customHeight="1" x14ac:dyDescent="0.25"/>
    <row r="13" spans="1:7" ht="15" hidden="1" customHeight="1" x14ac:dyDescent="0.25"/>
    <row r="14" spans="1:7" ht="15" hidden="1" customHeight="1" x14ac:dyDescent="0.25"/>
    <row r="15" spans="1:7" ht="15" hidden="1" customHeight="1" x14ac:dyDescent="0.25"/>
    <row r="16" spans="1:7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</sheetData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H21"/>
  <sheetViews>
    <sheetView showGridLines="0" workbookViewId="0">
      <selection activeCell="C6" sqref="C6"/>
    </sheetView>
  </sheetViews>
  <sheetFormatPr defaultColWidth="0" defaultRowHeight="15" customHeight="1" zeroHeight="1" x14ac:dyDescent="0.25"/>
  <cols>
    <col min="1" max="1" width="5.140625" customWidth="1"/>
    <col min="2" max="2" width="25.28515625" customWidth="1"/>
    <col min="3" max="3" width="13" customWidth="1"/>
    <col min="4" max="7" width="9.140625" customWidth="1"/>
    <col min="8" max="8" width="3.42578125" customWidth="1"/>
    <col min="9" max="16384" width="9.140625" hidden="1"/>
  </cols>
  <sheetData>
    <row r="1" spans="1:7" x14ac:dyDescent="0.25">
      <c r="A1" s="1" t="s">
        <v>184</v>
      </c>
      <c r="B1" s="1"/>
      <c r="C1" s="1"/>
      <c r="D1" s="1"/>
      <c r="E1" s="1"/>
      <c r="F1" s="1"/>
      <c r="G1" s="1"/>
    </row>
    <row r="2" spans="1:7" x14ac:dyDescent="0.25"/>
    <row r="3" spans="1:7" x14ac:dyDescent="0.25"/>
    <row r="4" spans="1:7" x14ac:dyDescent="0.25">
      <c r="B4" t="s">
        <v>185</v>
      </c>
      <c r="C4" s="104" t="s">
        <v>187</v>
      </c>
    </row>
    <row r="5" spans="1:7" x14ac:dyDescent="0.25"/>
    <row r="6" spans="1:7" x14ac:dyDescent="0.25">
      <c r="B6" t="s">
        <v>186</v>
      </c>
      <c r="C6" s="15" t="b">
        <f>ISDATE(C4)</f>
        <v>1</v>
      </c>
    </row>
    <row r="7" spans="1:7" x14ac:dyDescent="0.25"/>
    <row r="8" spans="1:7" x14ac:dyDescent="0.25"/>
    <row r="9" spans="1:7" x14ac:dyDescent="0.25"/>
    <row r="10" spans="1:7" x14ac:dyDescent="0.25">
      <c r="A10" s="6" t="s">
        <v>39</v>
      </c>
      <c r="B10" s="6"/>
      <c r="C10" s="6"/>
      <c r="D10" s="6"/>
      <c r="E10" s="6"/>
      <c r="F10" s="6"/>
      <c r="G10" s="6"/>
    </row>
    <row r="11" spans="1:7" x14ac:dyDescent="0.25"/>
    <row r="12" spans="1:7" ht="15" hidden="1" customHeight="1" x14ac:dyDescent="0.25"/>
    <row r="13" spans="1:7" ht="15" hidden="1" customHeight="1" x14ac:dyDescent="0.25"/>
    <row r="14" spans="1:7" ht="15" hidden="1" customHeight="1" x14ac:dyDescent="0.25"/>
    <row r="15" spans="1:7" ht="15" hidden="1" customHeight="1" x14ac:dyDescent="0.25"/>
    <row r="16" spans="1:7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</sheetData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H21"/>
  <sheetViews>
    <sheetView showGridLines="0" workbookViewId="0">
      <selection activeCell="B4" sqref="B4"/>
    </sheetView>
  </sheetViews>
  <sheetFormatPr defaultColWidth="0" defaultRowHeight="15" customHeight="1" zeroHeight="1" x14ac:dyDescent="0.25"/>
  <cols>
    <col min="1" max="1" width="5.140625" customWidth="1"/>
    <col min="2" max="2" width="25.28515625" customWidth="1"/>
    <col min="3" max="3" width="13" customWidth="1"/>
    <col min="4" max="7" width="9.140625" customWidth="1"/>
    <col min="8" max="8" width="3.42578125" customWidth="1"/>
    <col min="9" max="16384" width="9.140625" hidden="1"/>
  </cols>
  <sheetData>
    <row r="1" spans="1:7" x14ac:dyDescent="0.25">
      <c r="A1" s="1" t="s">
        <v>188</v>
      </c>
      <c r="B1" s="1"/>
      <c r="C1" s="1"/>
      <c r="D1" s="1"/>
      <c r="E1" s="1"/>
      <c r="F1" s="1"/>
      <c r="G1" s="1"/>
    </row>
    <row r="2" spans="1:7" x14ac:dyDescent="0.25"/>
    <row r="3" spans="1:7" x14ac:dyDescent="0.25">
      <c r="B3">
        <f>WORKSHEETSTATS()</f>
        <v>0</v>
      </c>
    </row>
    <row r="4" spans="1:7" x14ac:dyDescent="0.25"/>
    <row r="5" spans="1:7" x14ac:dyDescent="0.25"/>
    <row r="6" spans="1:7" x14ac:dyDescent="0.25"/>
    <row r="7" spans="1:7" x14ac:dyDescent="0.25"/>
    <row r="8" spans="1:7" x14ac:dyDescent="0.25"/>
    <row r="9" spans="1:7" x14ac:dyDescent="0.25"/>
    <row r="10" spans="1:7" x14ac:dyDescent="0.25">
      <c r="A10" s="6" t="s">
        <v>39</v>
      </c>
      <c r="B10" s="6"/>
      <c r="C10" s="6"/>
      <c r="D10" s="6"/>
      <c r="E10" s="6"/>
      <c r="F10" s="6"/>
      <c r="G10" s="6"/>
    </row>
    <row r="11" spans="1:7" x14ac:dyDescent="0.25"/>
    <row r="12" spans="1:7" ht="15" hidden="1" customHeight="1" x14ac:dyDescent="0.25"/>
    <row r="13" spans="1:7" ht="15" hidden="1" customHeight="1" x14ac:dyDescent="0.25"/>
    <row r="14" spans="1:7" ht="15" hidden="1" customHeight="1" x14ac:dyDescent="0.25"/>
    <row r="15" spans="1:7" ht="15" hidden="1" customHeight="1" x14ac:dyDescent="0.25"/>
    <row r="16" spans="1:7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</sheetData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K21"/>
  <sheetViews>
    <sheetView showGridLines="0" workbookViewId="0">
      <selection activeCell="K20" sqref="K20"/>
    </sheetView>
  </sheetViews>
  <sheetFormatPr defaultColWidth="0" defaultRowHeight="15" zeroHeight="1" x14ac:dyDescent="0.25"/>
  <cols>
    <col min="1" max="1" width="3.85546875" customWidth="1"/>
    <col min="2" max="2" width="9.140625" customWidth="1"/>
    <col min="3" max="3" width="20.85546875" customWidth="1"/>
    <col min="4" max="4" width="6.5703125" bestFit="1" customWidth="1"/>
    <col min="5" max="10" width="9.140625" customWidth="1"/>
    <col min="11" max="11" width="4.140625" customWidth="1"/>
    <col min="12" max="16384" width="9.140625" hidden="1"/>
  </cols>
  <sheetData>
    <row r="1" spans="1:10" x14ac:dyDescent="0.25">
      <c r="A1" s="1" t="s">
        <v>147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/>
    <row r="3" spans="1:10" x14ac:dyDescent="0.25">
      <c r="B3" s="27" t="s">
        <v>58</v>
      </c>
    </row>
    <row r="4" spans="1:10" x14ac:dyDescent="0.25">
      <c r="C4" s="11" t="s">
        <v>140</v>
      </c>
      <c r="D4" s="70">
        <v>41275</v>
      </c>
      <c r="E4" s="70">
        <v>41306</v>
      </c>
      <c r="F4" s="70">
        <v>41334</v>
      </c>
      <c r="G4" s="70">
        <v>41365</v>
      </c>
      <c r="H4" s="70">
        <v>41395</v>
      </c>
      <c r="I4" s="70">
        <v>41426</v>
      </c>
      <c r="J4" s="70">
        <v>41456</v>
      </c>
    </row>
    <row r="5" spans="1:10" x14ac:dyDescent="0.25">
      <c r="C5" s="11" t="s">
        <v>142</v>
      </c>
      <c r="D5" s="71">
        <v>34000</v>
      </c>
      <c r="E5" s="71">
        <v>39500</v>
      </c>
      <c r="F5" s="71">
        <v>38200</v>
      </c>
      <c r="G5" s="71">
        <v>38350</v>
      </c>
      <c r="H5" s="71">
        <v>38120</v>
      </c>
      <c r="I5" s="71">
        <v>39400</v>
      </c>
      <c r="J5" s="71">
        <v>40020</v>
      </c>
    </row>
    <row r="6" spans="1:10" x14ac:dyDescent="0.25">
      <c r="C6" s="11" t="s">
        <v>143</v>
      </c>
      <c r="D6" s="72">
        <v>7.0000000000000007E-2</v>
      </c>
      <c r="E6" s="72">
        <v>7.0000000000000007E-2</v>
      </c>
      <c r="F6" s="72">
        <v>7.0000000000000007E-2</v>
      </c>
      <c r="G6" s="72">
        <v>7.0000000000000007E-2</v>
      </c>
      <c r="H6" s="72">
        <v>7.0000000000000007E-2</v>
      </c>
      <c r="I6" s="72">
        <v>7.0000000000000007E-2</v>
      </c>
      <c r="J6" s="72">
        <v>7.0000000000000007E-2</v>
      </c>
    </row>
    <row r="7" spans="1:10" x14ac:dyDescent="0.25"/>
    <row r="8" spans="1:10" x14ac:dyDescent="0.25"/>
    <row r="9" spans="1:10" x14ac:dyDescent="0.25">
      <c r="B9" s="27" t="s">
        <v>41</v>
      </c>
    </row>
    <row r="10" spans="1:10" x14ac:dyDescent="0.25">
      <c r="C10" s="11" t="s">
        <v>140</v>
      </c>
      <c r="D10" s="70">
        <v>41275</v>
      </c>
      <c r="E10" s="70">
        <v>41306</v>
      </c>
      <c r="F10" s="70">
        <v>41334</v>
      </c>
      <c r="G10" s="70">
        <v>41365</v>
      </c>
      <c r="H10" s="70">
        <v>41395</v>
      </c>
      <c r="I10" s="70">
        <v>41426</v>
      </c>
      <c r="J10" s="70">
        <v>41456</v>
      </c>
    </row>
    <row r="11" spans="1:10" x14ac:dyDescent="0.25">
      <c r="C11" s="11" t="s">
        <v>141</v>
      </c>
      <c r="D11" s="76">
        <f>D5</f>
        <v>34000</v>
      </c>
      <c r="E11" s="73">
        <f t="shared" ref="E11:J11" si="0">E5</f>
        <v>39500</v>
      </c>
      <c r="F11" s="73">
        <f t="shared" si="0"/>
        <v>38200</v>
      </c>
      <c r="G11" s="73">
        <f t="shared" si="0"/>
        <v>38350</v>
      </c>
      <c r="H11" s="73">
        <f t="shared" si="0"/>
        <v>38120</v>
      </c>
      <c r="I11" s="73">
        <f t="shared" si="0"/>
        <v>39400</v>
      </c>
      <c r="J11" s="73">
        <f t="shared" si="0"/>
        <v>40020</v>
      </c>
    </row>
    <row r="12" spans="1:10" x14ac:dyDescent="0.25">
      <c r="C12" s="11" t="s">
        <v>144</v>
      </c>
      <c r="D12" s="77">
        <f>D6</f>
        <v>7.0000000000000007E-2</v>
      </c>
      <c r="E12" s="75">
        <f t="shared" ref="E12:J12" si="1">E6</f>
        <v>7.0000000000000007E-2</v>
      </c>
      <c r="F12" s="75">
        <f t="shared" si="1"/>
        <v>7.0000000000000007E-2</v>
      </c>
      <c r="G12" s="75">
        <f t="shared" si="1"/>
        <v>7.0000000000000007E-2</v>
      </c>
      <c r="H12" s="75">
        <f t="shared" si="1"/>
        <v>7.0000000000000007E-2</v>
      </c>
      <c r="I12" s="75">
        <f t="shared" si="1"/>
        <v>7.0000000000000007E-2</v>
      </c>
      <c r="J12" s="75">
        <f t="shared" si="1"/>
        <v>7.0000000000000007E-2</v>
      </c>
    </row>
    <row r="13" spans="1:10" x14ac:dyDescent="0.25">
      <c r="C13" s="74" t="s">
        <v>145</v>
      </c>
      <c r="D13" s="76">
        <f>(D11*D12)+D11</f>
        <v>36380</v>
      </c>
      <c r="E13" s="73">
        <f t="shared" ref="E13:J13" si="2">(E11*E12)+E11</f>
        <v>42265</v>
      </c>
      <c r="F13" s="73">
        <f t="shared" si="2"/>
        <v>40874</v>
      </c>
      <c r="G13" s="73">
        <f t="shared" si="2"/>
        <v>41034.5</v>
      </c>
      <c r="H13" s="73">
        <f t="shared" si="2"/>
        <v>40788.400000000001</v>
      </c>
      <c r="I13" s="73">
        <f t="shared" si="2"/>
        <v>42158</v>
      </c>
      <c r="J13" s="73">
        <f t="shared" si="2"/>
        <v>42821.4</v>
      </c>
    </row>
    <row r="14" spans="1:10" x14ac:dyDescent="0.25"/>
    <row r="15" spans="1:10" x14ac:dyDescent="0.25">
      <c r="B15" s="27" t="s">
        <v>47</v>
      </c>
    </row>
    <row r="16" spans="1:10" x14ac:dyDescent="0.25">
      <c r="D16" s="70">
        <v>41275</v>
      </c>
      <c r="E16" s="70">
        <v>41306</v>
      </c>
      <c r="F16" s="70">
        <v>41334</v>
      </c>
      <c r="G16" s="70">
        <v>41365</v>
      </c>
      <c r="H16" s="70">
        <v>41395</v>
      </c>
      <c r="I16" s="70">
        <v>41426</v>
      </c>
      <c r="J16" s="70">
        <v>41456</v>
      </c>
    </row>
    <row r="17" spans="1:10" x14ac:dyDescent="0.25">
      <c r="C17" s="11" t="s">
        <v>145</v>
      </c>
      <c r="D17" s="76">
        <f>D13</f>
        <v>36380</v>
      </c>
      <c r="E17" s="73">
        <f t="shared" ref="E17:J17" si="3">E13</f>
        <v>42265</v>
      </c>
      <c r="F17" s="73">
        <f t="shared" si="3"/>
        <v>40874</v>
      </c>
      <c r="G17" s="73">
        <f t="shared" si="3"/>
        <v>41034.5</v>
      </c>
      <c r="H17" s="73">
        <f t="shared" si="3"/>
        <v>40788.400000000001</v>
      </c>
      <c r="I17" s="73">
        <f t="shared" si="3"/>
        <v>42158</v>
      </c>
      <c r="J17" s="73">
        <f t="shared" si="3"/>
        <v>42821.4</v>
      </c>
    </row>
    <row r="18" spans="1:10" x14ac:dyDescent="0.25">
      <c r="C18" s="11" t="s">
        <v>146</v>
      </c>
      <c r="D18" s="76">
        <f>D17</f>
        <v>36380</v>
      </c>
      <c r="E18" s="76">
        <f>E17+D18</f>
        <v>78645</v>
      </c>
      <c r="F18" s="73">
        <f>F17+E18</f>
        <v>119519</v>
      </c>
      <c r="G18" s="73">
        <f t="shared" ref="G18:J18" si="4">G17+F18</f>
        <v>160553.5</v>
      </c>
      <c r="H18" s="73">
        <f t="shared" si="4"/>
        <v>201341.9</v>
      </c>
      <c r="I18" s="73">
        <f t="shared" si="4"/>
        <v>243499.9</v>
      </c>
      <c r="J18" s="73">
        <f t="shared" si="4"/>
        <v>286321.3</v>
      </c>
    </row>
    <row r="19" spans="1:10" x14ac:dyDescent="0.25"/>
    <row r="20" spans="1:10" x14ac:dyDescent="0.25">
      <c r="A20" s="6" t="s">
        <v>39</v>
      </c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/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K21"/>
  <sheetViews>
    <sheetView showGridLines="0" workbookViewId="0">
      <selection activeCell="J21" sqref="J21"/>
    </sheetView>
  </sheetViews>
  <sheetFormatPr defaultColWidth="0" defaultRowHeight="15" customHeight="1" zeroHeight="1" x14ac:dyDescent="0.25"/>
  <cols>
    <col min="1" max="1" width="3.85546875" customWidth="1"/>
    <col min="2" max="2" width="9.140625" customWidth="1"/>
    <col min="3" max="3" width="20.85546875" customWidth="1"/>
    <col min="4" max="10" width="9.28515625" bestFit="1" customWidth="1"/>
    <col min="11" max="11" width="4.140625" customWidth="1"/>
    <col min="12" max="16384" width="9.140625" hidden="1"/>
  </cols>
  <sheetData>
    <row r="1" spans="1:10" x14ac:dyDescent="0.25">
      <c r="A1" s="1" t="s">
        <v>147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/>
    <row r="3" spans="1:10" x14ac:dyDescent="0.25">
      <c r="B3" s="27" t="s">
        <v>58</v>
      </c>
    </row>
    <row r="4" spans="1:10" x14ac:dyDescent="0.25">
      <c r="C4" s="11" t="s">
        <v>140</v>
      </c>
      <c r="D4" s="70">
        <v>41275</v>
      </c>
      <c r="E4" s="70">
        <v>41306</v>
      </c>
      <c r="F4" s="70">
        <v>41334</v>
      </c>
      <c r="G4" s="70">
        <v>41365</v>
      </c>
      <c r="H4" s="70">
        <v>41395</v>
      </c>
      <c r="I4" s="70">
        <v>41426</v>
      </c>
      <c r="J4" s="70">
        <v>41456</v>
      </c>
    </row>
    <row r="5" spans="1:10" x14ac:dyDescent="0.25">
      <c r="C5" s="11" t="s">
        <v>142</v>
      </c>
      <c r="D5" s="71">
        <v>34000</v>
      </c>
      <c r="E5" s="71">
        <v>39500</v>
      </c>
      <c r="F5" s="71">
        <v>38200</v>
      </c>
      <c r="G5" s="71">
        <v>38350</v>
      </c>
      <c r="H5" s="71">
        <v>38120</v>
      </c>
      <c r="I5" s="71">
        <v>39400</v>
      </c>
      <c r="J5" s="71">
        <v>40020</v>
      </c>
    </row>
    <row r="6" spans="1:10" x14ac:dyDescent="0.25">
      <c r="C6" s="11" t="s">
        <v>143</v>
      </c>
      <c r="D6" s="78" t="s">
        <v>167</v>
      </c>
      <c r="E6" s="78" t="s">
        <v>167</v>
      </c>
      <c r="F6" s="78" t="s">
        <v>167</v>
      </c>
      <c r="G6" s="78" t="s">
        <v>167</v>
      </c>
      <c r="H6" s="78" t="s">
        <v>167</v>
      </c>
      <c r="I6" s="78" t="s">
        <v>167</v>
      </c>
      <c r="J6" s="78" t="s">
        <v>167</v>
      </c>
    </row>
    <row r="7" spans="1:10" x14ac:dyDescent="0.25"/>
    <row r="8" spans="1:10" x14ac:dyDescent="0.25"/>
    <row r="9" spans="1:10" x14ac:dyDescent="0.25">
      <c r="B9" s="27" t="s">
        <v>41</v>
      </c>
    </row>
    <row r="10" spans="1:10" x14ac:dyDescent="0.25">
      <c r="C10" s="11" t="s">
        <v>140</v>
      </c>
      <c r="D10" s="70">
        <v>41275</v>
      </c>
      <c r="E10" s="70">
        <v>41306</v>
      </c>
      <c r="F10" s="70">
        <v>41334</v>
      </c>
      <c r="G10" s="70">
        <v>41365</v>
      </c>
      <c r="H10" s="70">
        <v>41395</v>
      </c>
      <c r="I10" s="70">
        <v>41426</v>
      </c>
      <c r="J10" s="70">
        <v>41456</v>
      </c>
    </row>
    <row r="11" spans="1:10" x14ac:dyDescent="0.25">
      <c r="C11" s="11" t="s">
        <v>141</v>
      </c>
      <c r="D11" s="76">
        <f>D5</f>
        <v>34000</v>
      </c>
      <c r="E11" s="73">
        <f t="shared" ref="E11:J12" si="0">E5</f>
        <v>39500</v>
      </c>
      <c r="F11" s="73">
        <f t="shared" si="0"/>
        <v>38200</v>
      </c>
      <c r="G11" s="73">
        <f t="shared" si="0"/>
        <v>38350</v>
      </c>
      <c r="H11" s="73">
        <f t="shared" si="0"/>
        <v>38120</v>
      </c>
      <c r="I11" s="73">
        <f t="shared" si="0"/>
        <v>39400</v>
      </c>
      <c r="J11" s="73">
        <f t="shared" si="0"/>
        <v>40020</v>
      </c>
    </row>
    <row r="12" spans="1:10" x14ac:dyDescent="0.25">
      <c r="C12" s="11" t="s">
        <v>144</v>
      </c>
      <c r="D12" s="77" t="str">
        <f>D6</f>
        <v>7 per cent</v>
      </c>
      <c r="E12" s="75" t="str">
        <f t="shared" si="0"/>
        <v>7 per cent</v>
      </c>
      <c r="F12" s="75" t="str">
        <f t="shared" si="0"/>
        <v>7 per cent</v>
      </c>
      <c r="G12" s="75" t="str">
        <f t="shared" si="0"/>
        <v>7 per cent</v>
      </c>
      <c r="H12" s="75" t="str">
        <f t="shared" si="0"/>
        <v>7 per cent</v>
      </c>
      <c r="I12" s="75" t="str">
        <f t="shared" si="0"/>
        <v>7 per cent</v>
      </c>
      <c r="J12" s="75" t="str">
        <f t="shared" si="0"/>
        <v>7 per cent</v>
      </c>
    </row>
    <row r="13" spans="1:10" x14ac:dyDescent="0.25">
      <c r="C13" s="74" t="s">
        <v>145</v>
      </c>
      <c r="D13" s="76" t="e">
        <f>(D11*D12)+D11</f>
        <v>#VALUE!</v>
      </c>
      <c r="E13" s="73" t="e">
        <f t="shared" ref="E13:J13" si="1">(E11*E12)+E11</f>
        <v>#VALUE!</v>
      </c>
      <c r="F13" s="73" t="e">
        <f t="shared" si="1"/>
        <v>#VALUE!</v>
      </c>
      <c r="G13" s="73" t="e">
        <f t="shared" si="1"/>
        <v>#VALUE!</v>
      </c>
      <c r="H13" s="73" t="e">
        <f t="shared" si="1"/>
        <v>#VALUE!</v>
      </c>
      <c r="I13" s="73" t="e">
        <f t="shared" si="1"/>
        <v>#VALUE!</v>
      </c>
      <c r="J13" s="73" t="e">
        <f t="shared" si="1"/>
        <v>#VALUE!</v>
      </c>
    </row>
    <row r="14" spans="1:10" x14ac:dyDescent="0.25"/>
    <row r="15" spans="1:10" x14ac:dyDescent="0.25">
      <c r="B15" s="27" t="s">
        <v>47</v>
      </c>
    </row>
    <row r="16" spans="1:10" x14ac:dyDescent="0.25">
      <c r="D16" s="70">
        <v>41275</v>
      </c>
      <c r="E16" s="70">
        <v>41306</v>
      </c>
      <c r="F16" s="70">
        <v>41334</v>
      </c>
      <c r="G16" s="70">
        <v>41365</v>
      </c>
      <c r="H16" s="70">
        <v>41395</v>
      </c>
      <c r="I16" s="70">
        <v>41426</v>
      </c>
      <c r="J16" s="70">
        <v>41456</v>
      </c>
    </row>
    <row r="17" spans="1:10" x14ac:dyDescent="0.25">
      <c r="C17" s="11" t="s">
        <v>145</v>
      </c>
      <c r="D17" s="76" t="e">
        <f>D13</f>
        <v>#VALUE!</v>
      </c>
      <c r="E17" s="73" t="e">
        <f t="shared" ref="E17:J17" si="2">E13</f>
        <v>#VALUE!</v>
      </c>
      <c r="F17" s="73" t="e">
        <f t="shared" si="2"/>
        <v>#VALUE!</v>
      </c>
      <c r="G17" s="73" t="e">
        <f t="shared" si="2"/>
        <v>#VALUE!</v>
      </c>
      <c r="H17" s="73" t="e">
        <f t="shared" si="2"/>
        <v>#VALUE!</v>
      </c>
      <c r="I17" s="73" t="e">
        <f t="shared" si="2"/>
        <v>#VALUE!</v>
      </c>
      <c r="J17" s="73" t="e">
        <f t="shared" si="2"/>
        <v>#VALUE!</v>
      </c>
    </row>
    <row r="18" spans="1:10" x14ac:dyDescent="0.25">
      <c r="C18" s="11" t="s">
        <v>146</v>
      </c>
      <c r="D18" s="76" t="e">
        <f>D17</f>
        <v>#VALUE!</v>
      </c>
      <c r="E18" s="76" t="e">
        <f>E17+D18</f>
        <v>#VALUE!</v>
      </c>
      <c r="F18" s="73" t="e">
        <f>F17+E18</f>
        <v>#VALUE!</v>
      </c>
      <c r="G18" s="73" t="e">
        <f t="shared" ref="G18:J18" si="3">G17+F18</f>
        <v>#VALUE!</v>
      </c>
      <c r="H18" s="73" t="e">
        <f t="shared" si="3"/>
        <v>#VALUE!</v>
      </c>
      <c r="I18" s="73" t="e">
        <f t="shared" si="3"/>
        <v>#VALUE!</v>
      </c>
      <c r="J18" s="73" t="e">
        <f t="shared" si="3"/>
        <v>#VALUE!</v>
      </c>
    </row>
    <row r="19" spans="1:10" x14ac:dyDescent="0.25"/>
    <row r="20" spans="1:10" x14ac:dyDescent="0.25">
      <c r="A20" s="6" t="s">
        <v>39</v>
      </c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/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21"/>
  <sheetViews>
    <sheetView showGridLines="0" workbookViewId="0">
      <selection activeCell="D6" sqref="D6"/>
    </sheetView>
  </sheetViews>
  <sheetFormatPr defaultColWidth="0" defaultRowHeight="15" customHeight="1" zeroHeight="1" x14ac:dyDescent="0.25"/>
  <cols>
    <col min="1" max="1" width="3.85546875" customWidth="1"/>
    <col min="2" max="2" width="9.140625" customWidth="1"/>
    <col min="3" max="3" width="20.85546875" customWidth="1"/>
    <col min="4" max="10" width="9.28515625" bestFit="1" customWidth="1"/>
    <col min="11" max="11" width="4.140625" customWidth="1"/>
    <col min="12" max="16384" width="9.140625" hidden="1"/>
  </cols>
  <sheetData>
    <row r="1" spans="1:10" x14ac:dyDescent="0.25">
      <c r="A1" s="1" t="s">
        <v>147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/>
    <row r="3" spans="1:10" x14ac:dyDescent="0.25">
      <c r="B3" s="27" t="s">
        <v>58</v>
      </c>
    </row>
    <row r="4" spans="1:10" x14ac:dyDescent="0.25">
      <c r="C4" s="11" t="s">
        <v>140</v>
      </c>
      <c r="D4" s="70">
        <v>41275</v>
      </c>
      <c r="E4" s="70">
        <v>41306</v>
      </c>
      <c r="F4" s="70">
        <v>41334</v>
      </c>
      <c r="G4" s="70">
        <v>41365</v>
      </c>
      <c r="H4" s="70">
        <v>41395</v>
      </c>
      <c r="I4" s="70">
        <v>41426</v>
      </c>
      <c r="J4" s="70">
        <v>41456</v>
      </c>
    </row>
    <row r="5" spans="1:10" x14ac:dyDescent="0.25">
      <c r="C5" s="11" t="s">
        <v>142</v>
      </c>
      <c r="D5" s="71">
        <v>34000</v>
      </c>
      <c r="E5" s="71">
        <v>39500</v>
      </c>
      <c r="F5" s="71">
        <v>38200</v>
      </c>
      <c r="G5" s="71">
        <v>38350</v>
      </c>
      <c r="H5" s="71">
        <v>38120</v>
      </c>
      <c r="I5" s="71">
        <v>39400</v>
      </c>
      <c r="J5" s="71">
        <v>40020</v>
      </c>
    </row>
    <row r="6" spans="1:10" x14ac:dyDescent="0.25">
      <c r="C6" s="11" t="s">
        <v>143</v>
      </c>
      <c r="D6" s="78"/>
      <c r="E6" s="78"/>
      <c r="F6" s="78"/>
      <c r="G6" s="78"/>
      <c r="H6" s="78"/>
      <c r="I6" s="78"/>
      <c r="J6" s="78"/>
    </row>
    <row r="7" spans="1:10" x14ac:dyDescent="0.25"/>
    <row r="8" spans="1:10" x14ac:dyDescent="0.25"/>
    <row r="9" spans="1:10" x14ac:dyDescent="0.25">
      <c r="B9" s="27" t="s">
        <v>41</v>
      </c>
    </row>
    <row r="10" spans="1:10" x14ac:dyDescent="0.25">
      <c r="C10" s="11" t="s">
        <v>140</v>
      </c>
      <c r="D10" s="70">
        <v>41275</v>
      </c>
      <c r="E10" s="70">
        <v>41306</v>
      </c>
      <c r="F10" s="70">
        <v>41334</v>
      </c>
      <c r="G10" s="70">
        <v>41365</v>
      </c>
      <c r="H10" s="70">
        <v>41395</v>
      </c>
      <c r="I10" s="70">
        <v>41426</v>
      </c>
      <c r="J10" s="70">
        <v>41456</v>
      </c>
    </row>
    <row r="11" spans="1:10" x14ac:dyDescent="0.25">
      <c r="C11" s="11" t="s">
        <v>141</v>
      </c>
      <c r="D11" s="76">
        <f>D5</f>
        <v>34000</v>
      </c>
      <c r="E11" s="73">
        <f t="shared" ref="E11:J12" si="0">E5</f>
        <v>39500</v>
      </c>
      <c r="F11" s="73">
        <f t="shared" si="0"/>
        <v>38200</v>
      </c>
      <c r="G11" s="73">
        <f t="shared" si="0"/>
        <v>38350</v>
      </c>
      <c r="H11" s="73">
        <f t="shared" si="0"/>
        <v>38120</v>
      </c>
      <c r="I11" s="73">
        <f t="shared" si="0"/>
        <v>39400</v>
      </c>
      <c r="J11" s="73">
        <f t="shared" si="0"/>
        <v>40020</v>
      </c>
    </row>
    <row r="12" spans="1:10" x14ac:dyDescent="0.25">
      <c r="C12" s="11" t="s">
        <v>144</v>
      </c>
      <c r="D12" s="77">
        <f>D6</f>
        <v>0</v>
      </c>
      <c r="E12" s="75">
        <f t="shared" si="0"/>
        <v>0</v>
      </c>
      <c r="F12" s="75">
        <f t="shared" si="0"/>
        <v>0</v>
      </c>
      <c r="G12" s="75">
        <f t="shared" si="0"/>
        <v>0</v>
      </c>
      <c r="H12" s="75">
        <f t="shared" si="0"/>
        <v>0</v>
      </c>
      <c r="I12" s="75">
        <f t="shared" si="0"/>
        <v>0</v>
      </c>
      <c r="J12" s="75">
        <f t="shared" si="0"/>
        <v>0</v>
      </c>
    </row>
    <row r="13" spans="1:10" x14ac:dyDescent="0.25">
      <c r="C13" s="74" t="s">
        <v>145</v>
      </c>
      <c r="D13" s="76">
        <f>(D11*D12)+D11</f>
        <v>34000</v>
      </c>
      <c r="E13" s="73">
        <f t="shared" ref="E13:J13" si="1">(E11*E12)+E11</f>
        <v>39500</v>
      </c>
      <c r="F13" s="73">
        <f t="shared" si="1"/>
        <v>38200</v>
      </c>
      <c r="G13" s="73">
        <f t="shared" si="1"/>
        <v>38350</v>
      </c>
      <c r="H13" s="73">
        <f t="shared" si="1"/>
        <v>38120</v>
      </c>
      <c r="I13" s="73">
        <f t="shared" si="1"/>
        <v>39400</v>
      </c>
      <c r="J13" s="73">
        <f t="shared" si="1"/>
        <v>40020</v>
      </c>
    </row>
    <row r="14" spans="1:10" x14ac:dyDescent="0.25"/>
    <row r="15" spans="1:10" x14ac:dyDescent="0.25">
      <c r="B15" s="27" t="s">
        <v>47</v>
      </c>
    </row>
    <row r="16" spans="1:10" x14ac:dyDescent="0.25">
      <c r="D16" s="70">
        <v>41275</v>
      </c>
      <c r="E16" s="70">
        <v>41306</v>
      </c>
      <c r="F16" s="70">
        <v>41334</v>
      </c>
      <c r="G16" s="70">
        <v>41365</v>
      </c>
      <c r="H16" s="70">
        <v>41395</v>
      </c>
      <c r="I16" s="70">
        <v>41426</v>
      </c>
      <c r="J16" s="70">
        <v>41456</v>
      </c>
    </row>
    <row r="17" spans="1:10" x14ac:dyDescent="0.25">
      <c r="C17" s="11" t="s">
        <v>145</v>
      </c>
      <c r="D17" s="76">
        <f>D13</f>
        <v>34000</v>
      </c>
      <c r="E17" s="73">
        <f t="shared" ref="E17:J17" si="2">E13</f>
        <v>39500</v>
      </c>
      <c r="F17" s="73">
        <f t="shared" si="2"/>
        <v>38200</v>
      </c>
      <c r="G17" s="73">
        <f t="shared" si="2"/>
        <v>38350</v>
      </c>
      <c r="H17" s="73">
        <f t="shared" si="2"/>
        <v>38120</v>
      </c>
      <c r="I17" s="73">
        <f t="shared" si="2"/>
        <v>39400</v>
      </c>
      <c r="J17" s="73">
        <f t="shared" si="2"/>
        <v>40020</v>
      </c>
    </row>
    <row r="18" spans="1:10" x14ac:dyDescent="0.25">
      <c r="C18" s="11" t="s">
        <v>146</v>
      </c>
      <c r="D18" s="76">
        <f>D17</f>
        <v>34000</v>
      </c>
      <c r="E18" s="76">
        <f>E17+D18</f>
        <v>73500</v>
      </c>
      <c r="F18" s="73">
        <f>F17+E18</f>
        <v>111700</v>
      </c>
      <c r="G18" s="73">
        <f t="shared" ref="G18:J18" si="3">G17+F18</f>
        <v>150050</v>
      </c>
      <c r="H18" s="73">
        <f t="shared" si="3"/>
        <v>188170</v>
      </c>
      <c r="I18" s="73">
        <f t="shared" si="3"/>
        <v>227570</v>
      </c>
      <c r="J18" s="73">
        <f t="shared" si="3"/>
        <v>267590</v>
      </c>
    </row>
    <row r="19" spans="1:10" x14ac:dyDescent="0.25"/>
    <row r="20" spans="1:10" x14ac:dyDescent="0.25">
      <c r="A20" s="6" t="s">
        <v>39</v>
      </c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/>
  </sheetData>
  <dataValidations count="1">
    <dataValidation type="decimal" allowBlank="1" showInputMessage="1" showErrorMessage="1" sqref="D6">
      <formula1>0</formula1>
      <formula2>1</formula2>
    </dataValidation>
  </dataValidation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L21"/>
  <sheetViews>
    <sheetView showGridLines="0" workbookViewId="0">
      <selection activeCell="K18" sqref="K18"/>
    </sheetView>
  </sheetViews>
  <sheetFormatPr defaultColWidth="0" defaultRowHeight="15" customHeight="1" zeroHeight="1" x14ac:dyDescent="0.25"/>
  <cols>
    <col min="1" max="1" width="3.85546875" customWidth="1"/>
    <col min="2" max="2" width="9.140625" customWidth="1"/>
    <col min="3" max="3" width="20.85546875" customWidth="1"/>
    <col min="4" max="9" width="9.28515625" bestFit="1" customWidth="1"/>
    <col min="10" max="10" width="11.5703125" customWidth="1"/>
    <col min="11" max="11" width="11.28515625" customWidth="1"/>
    <col min="12" max="12" width="3.7109375" customWidth="1"/>
    <col min="13" max="16384" width="9.140625" hidden="1"/>
  </cols>
  <sheetData>
    <row r="1" spans="1:11" x14ac:dyDescent="0.25">
      <c r="A1" s="1" t="s">
        <v>147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/>
    <row r="3" spans="1:11" x14ac:dyDescent="0.25">
      <c r="B3" s="27" t="s">
        <v>58</v>
      </c>
    </row>
    <row r="4" spans="1:11" x14ac:dyDescent="0.25">
      <c r="C4" s="11" t="s">
        <v>140</v>
      </c>
      <c r="D4" s="70">
        <v>41275</v>
      </c>
      <c r="E4" s="70">
        <v>41306</v>
      </c>
      <c r="F4" s="70">
        <v>41334</v>
      </c>
      <c r="G4" s="70">
        <v>41365</v>
      </c>
      <c r="H4" s="70">
        <v>41395</v>
      </c>
      <c r="I4" s="70">
        <v>41426</v>
      </c>
      <c r="J4" s="70">
        <v>41456</v>
      </c>
      <c r="K4" s="81" t="s">
        <v>148</v>
      </c>
    </row>
    <row r="5" spans="1:11" x14ac:dyDescent="0.25">
      <c r="C5" s="11" t="s">
        <v>142</v>
      </c>
      <c r="D5" s="71">
        <v>34000</v>
      </c>
      <c r="E5" s="71">
        <v>39500</v>
      </c>
      <c r="F5" s="71">
        <v>38200</v>
      </c>
      <c r="G5" s="71">
        <v>38350</v>
      </c>
      <c r="H5" s="71">
        <v>38120</v>
      </c>
      <c r="I5" s="71">
        <v>39400</v>
      </c>
      <c r="J5" s="71">
        <v>40020</v>
      </c>
    </row>
    <row r="6" spans="1:11" x14ac:dyDescent="0.25">
      <c r="C6" s="11" t="s">
        <v>143</v>
      </c>
      <c r="D6" s="78"/>
      <c r="E6" s="78"/>
      <c r="F6" s="78"/>
      <c r="G6" s="78"/>
      <c r="H6" s="78"/>
      <c r="I6" s="78"/>
      <c r="J6" s="78"/>
    </row>
    <row r="7" spans="1:11" x14ac:dyDescent="0.25">
      <c r="D7" s="79">
        <f>IF(AND(D5&gt;0,ISNUMBER(D6)),0,1)</f>
        <v>1</v>
      </c>
      <c r="E7" s="79">
        <f t="shared" ref="E7:J7" si="0">IF(AND(E5&gt;0,ISNUMBER(E6)),0,1)</f>
        <v>1</v>
      </c>
      <c r="F7" s="79">
        <f t="shared" si="0"/>
        <v>1</v>
      </c>
      <c r="G7" s="79">
        <f t="shared" si="0"/>
        <v>1</v>
      </c>
      <c r="H7" s="79">
        <f t="shared" si="0"/>
        <v>1</v>
      </c>
      <c r="I7" s="79">
        <f t="shared" si="0"/>
        <v>1</v>
      </c>
      <c r="J7" s="79">
        <f t="shared" si="0"/>
        <v>1</v>
      </c>
      <c r="K7" s="80">
        <f>SUM(D7:J7)</f>
        <v>7</v>
      </c>
    </row>
    <row r="8" spans="1:11" x14ac:dyDescent="0.25"/>
    <row r="9" spans="1:11" x14ac:dyDescent="0.25">
      <c r="B9" s="27" t="s">
        <v>41</v>
      </c>
    </row>
    <row r="10" spans="1:11" x14ac:dyDescent="0.25">
      <c r="C10" s="11" t="s">
        <v>140</v>
      </c>
      <c r="D10" s="70">
        <v>41275</v>
      </c>
      <c r="E10" s="70">
        <v>41306</v>
      </c>
      <c r="F10" s="70">
        <v>41334</v>
      </c>
      <c r="G10" s="70">
        <v>41365</v>
      </c>
      <c r="H10" s="70">
        <v>41395</v>
      </c>
      <c r="I10" s="70">
        <v>41426</v>
      </c>
      <c r="J10" s="70">
        <v>41456</v>
      </c>
    </row>
    <row r="11" spans="1:11" x14ac:dyDescent="0.25">
      <c r="C11" s="11" t="s">
        <v>141</v>
      </c>
      <c r="D11" s="76">
        <f>D5</f>
        <v>34000</v>
      </c>
      <c r="E11" s="73">
        <f t="shared" ref="E11:J12" si="1">E5</f>
        <v>39500</v>
      </c>
      <c r="F11" s="73">
        <f t="shared" si="1"/>
        <v>38200</v>
      </c>
      <c r="G11" s="73">
        <f t="shared" si="1"/>
        <v>38350</v>
      </c>
      <c r="H11" s="73">
        <f t="shared" si="1"/>
        <v>38120</v>
      </c>
      <c r="I11" s="73">
        <f t="shared" si="1"/>
        <v>39400</v>
      </c>
      <c r="J11" s="73">
        <f t="shared" si="1"/>
        <v>40020</v>
      </c>
    </row>
    <row r="12" spans="1:11" x14ac:dyDescent="0.25">
      <c r="C12" s="11" t="s">
        <v>144</v>
      </c>
      <c r="D12" s="77">
        <f>D6</f>
        <v>0</v>
      </c>
      <c r="E12" s="75">
        <f t="shared" si="1"/>
        <v>0</v>
      </c>
      <c r="F12" s="75">
        <f t="shared" si="1"/>
        <v>0</v>
      </c>
      <c r="G12" s="75">
        <f t="shared" si="1"/>
        <v>0</v>
      </c>
      <c r="H12" s="75">
        <f t="shared" si="1"/>
        <v>0</v>
      </c>
      <c r="I12" s="75">
        <f t="shared" si="1"/>
        <v>0</v>
      </c>
      <c r="J12" s="75">
        <f t="shared" si="1"/>
        <v>0</v>
      </c>
    </row>
    <row r="13" spans="1:11" x14ac:dyDescent="0.25">
      <c r="C13" s="74" t="s">
        <v>145</v>
      </c>
      <c r="D13" s="76">
        <f>(D11*D12)+D11</f>
        <v>34000</v>
      </c>
      <c r="E13" s="73">
        <f t="shared" ref="E13:J13" si="2">(E11*E12)+E11</f>
        <v>39500</v>
      </c>
      <c r="F13" s="73">
        <f t="shared" si="2"/>
        <v>38200</v>
      </c>
      <c r="G13" s="73">
        <f t="shared" si="2"/>
        <v>38350</v>
      </c>
      <c r="H13" s="73">
        <f t="shared" si="2"/>
        <v>38120</v>
      </c>
      <c r="I13" s="73">
        <f t="shared" si="2"/>
        <v>39400</v>
      </c>
      <c r="J13" s="73">
        <f t="shared" si="2"/>
        <v>40020</v>
      </c>
    </row>
    <row r="14" spans="1:11" x14ac:dyDescent="0.25"/>
    <row r="15" spans="1:11" x14ac:dyDescent="0.25">
      <c r="B15" s="27" t="s">
        <v>47</v>
      </c>
    </row>
    <row r="16" spans="1:11" x14ac:dyDescent="0.25">
      <c r="D16" s="70">
        <v>41275</v>
      </c>
      <c r="E16" s="70">
        <v>41306</v>
      </c>
      <c r="F16" s="70">
        <v>41334</v>
      </c>
      <c r="G16" s="70">
        <v>41365</v>
      </c>
      <c r="H16" s="70">
        <v>41395</v>
      </c>
      <c r="I16" s="70">
        <v>41426</v>
      </c>
      <c r="J16" s="70">
        <v>41456</v>
      </c>
    </row>
    <row r="17" spans="1:11" x14ac:dyDescent="0.25">
      <c r="C17" s="11" t="s">
        <v>145</v>
      </c>
      <c r="D17" s="76">
        <f>D13</f>
        <v>34000</v>
      </c>
      <c r="E17" s="73">
        <f t="shared" ref="E17:J17" si="3">E13</f>
        <v>39500</v>
      </c>
      <c r="F17" s="73">
        <f t="shared" si="3"/>
        <v>38200</v>
      </c>
      <c r="G17" s="73">
        <f t="shared" si="3"/>
        <v>38350</v>
      </c>
      <c r="H17" s="73">
        <f t="shared" si="3"/>
        <v>38120</v>
      </c>
      <c r="I17" s="73">
        <f t="shared" si="3"/>
        <v>39400</v>
      </c>
      <c r="J17" s="73">
        <f t="shared" si="3"/>
        <v>40020</v>
      </c>
    </row>
    <row r="18" spans="1:11" x14ac:dyDescent="0.25">
      <c r="C18" s="11" t="s">
        <v>146</v>
      </c>
      <c r="D18" s="76">
        <f>D17</f>
        <v>34000</v>
      </c>
      <c r="E18" s="76">
        <f>E17+D18</f>
        <v>73500</v>
      </c>
      <c r="F18" s="73">
        <f>F17+E18</f>
        <v>111700</v>
      </c>
      <c r="G18" s="73">
        <f t="shared" ref="G18:J18" si="4">G17+F18</f>
        <v>150050</v>
      </c>
      <c r="H18" s="73">
        <f t="shared" si="4"/>
        <v>188170</v>
      </c>
      <c r="I18" s="73">
        <f t="shared" si="4"/>
        <v>227570</v>
      </c>
      <c r="J18" s="73">
        <f t="shared" si="4"/>
        <v>267590</v>
      </c>
    </row>
    <row r="19" spans="1:11" x14ac:dyDescent="0.25"/>
    <row r="20" spans="1:11" x14ac:dyDescent="0.25">
      <c r="A20" s="6" t="s">
        <v>39</v>
      </c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/>
  </sheetData>
  <conditionalFormatting sqref="K7">
    <cfRule type="cellIs" dxfId="5" priority="3" stopIfTrue="1" operator="equal">
      <formula>0</formula>
    </cfRule>
  </conditionalFormatting>
  <conditionalFormatting sqref="K7">
    <cfRule type="cellIs" dxfId="4" priority="1" stopIfTrue="1" operator="greaterThan">
      <formula>0</formula>
    </cfRule>
    <cfRule type="cellIs" dxfId="3" priority="2" stopIfTrue="1" operator="lessThan">
      <formula>0</formula>
    </cfRule>
  </conditionalFormatting>
  <dataValidations count="1">
    <dataValidation type="decimal" allowBlank="1" showInputMessage="1" showErrorMessage="1" sqref="D6:J6">
      <formula1>0</formula1>
      <formula2>1</formula2>
    </dataValidation>
  </dataValidation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L21"/>
  <sheetViews>
    <sheetView showGridLines="0" topLeftCell="C1" workbookViewId="0">
      <selection activeCell="K18" sqref="K18"/>
    </sheetView>
  </sheetViews>
  <sheetFormatPr defaultColWidth="0" defaultRowHeight="15" customHeight="1" zeroHeight="1" x14ac:dyDescent="0.25"/>
  <cols>
    <col min="1" max="1" width="3.85546875" customWidth="1"/>
    <col min="2" max="2" width="9.140625" customWidth="1"/>
    <col min="3" max="3" width="20.85546875" customWidth="1"/>
    <col min="4" max="9" width="9.28515625" bestFit="1" customWidth="1"/>
    <col min="10" max="10" width="11.5703125" customWidth="1"/>
    <col min="11" max="11" width="11.28515625" customWidth="1"/>
    <col min="12" max="12" width="3.7109375" customWidth="1"/>
    <col min="13" max="16384" width="9.140625" hidden="1"/>
  </cols>
  <sheetData>
    <row r="1" spans="1:11" x14ac:dyDescent="0.25">
      <c r="A1" s="1" t="s">
        <v>147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/>
    <row r="3" spans="1:11" x14ac:dyDescent="0.25">
      <c r="B3" s="27" t="s">
        <v>58</v>
      </c>
    </row>
    <row r="4" spans="1:11" x14ac:dyDescent="0.25">
      <c r="C4" s="11" t="s">
        <v>140</v>
      </c>
      <c r="D4" s="70">
        <v>41275</v>
      </c>
      <c r="E4" s="70">
        <v>41306</v>
      </c>
      <c r="F4" s="70">
        <v>41334</v>
      </c>
      <c r="G4" s="70">
        <v>41365</v>
      </c>
      <c r="H4" s="70">
        <v>41395</v>
      </c>
      <c r="I4" s="70">
        <v>41426</v>
      </c>
      <c r="J4" s="70">
        <v>41456</v>
      </c>
      <c r="K4" s="81" t="s">
        <v>148</v>
      </c>
    </row>
    <row r="5" spans="1:11" x14ac:dyDescent="0.25">
      <c r="C5" s="11" t="s">
        <v>142</v>
      </c>
      <c r="D5" s="71">
        <v>34000</v>
      </c>
      <c r="E5" s="71">
        <v>39500</v>
      </c>
      <c r="F5" s="71">
        <v>38200</v>
      </c>
      <c r="G5" s="71">
        <v>38350</v>
      </c>
      <c r="H5" s="71">
        <v>38120</v>
      </c>
      <c r="I5" s="71">
        <v>39400</v>
      </c>
      <c r="J5" s="71">
        <v>40020</v>
      </c>
    </row>
    <row r="6" spans="1:11" x14ac:dyDescent="0.25">
      <c r="C6" s="11" t="s">
        <v>143</v>
      </c>
      <c r="D6" s="78">
        <v>0.05</v>
      </c>
      <c r="E6" s="78">
        <v>0.05</v>
      </c>
      <c r="F6" s="78">
        <v>0.05</v>
      </c>
      <c r="G6" s="78">
        <v>0.05</v>
      </c>
      <c r="H6" s="78">
        <v>0.05</v>
      </c>
      <c r="I6" s="78">
        <v>0.05</v>
      </c>
      <c r="J6" s="78">
        <v>0.05</v>
      </c>
    </row>
    <row r="7" spans="1:11" x14ac:dyDescent="0.25">
      <c r="D7" s="79">
        <f>IF(AND(D5&gt;0,ISNUMBER(D6)),0,1)</f>
        <v>0</v>
      </c>
      <c r="E7" s="79">
        <f t="shared" ref="E7:J7" si="0">IF(AND(E5&gt;0,ISNUMBER(E6)),0,1)</f>
        <v>0</v>
      </c>
      <c r="F7" s="79">
        <f t="shared" si="0"/>
        <v>0</v>
      </c>
      <c r="G7" s="79">
        <f t="shared" si="0"/>
        <v>0</v>
      </c>
      <c r="H7" s="79">
        <f t="shared" si="0"/>
        <v>0</v>
      </c>
      <c r="I7" s="79">
        <f t="shared" si="0"/>
        <v>0</v>
      </c>
      <c r="J7" s="79">
        <f t="shared" si="0"/>
        <v>0</v>
      </c>
      <c r="K7" s="80">
        <f>SUM(D7:J7)</f>
        <v>0</v>
      </c>
    </row>
    <row r="8" spans="1:11" x14ac:dyDescent="0.25"/>
    <row r="9" spans="1:11" x14ac:dyDescent="0.25">
      <c r="B9" s="27" t="s">
        <v>41</v>
      </c>
    </row>
    <row r="10" spans="1:11" x14ac:dyDescent="0.25">
      <c r="C10" s="11" t="s">
        <v>140</v>
      </c>
      <c r="D10" s="70">
        <v>41275</v>
      </c>
      <c r="E10" s="70">
        <v>41306</v>
      </c>
      <c r="F10" s="70">
        <v>41334</v>
      </c>
      <c r="G10" s="70">
        <v>41365</v>
      </c>
      <c r="H10" s="70">
        <v>41395</v>
      </c>
      <c r="I10" s="70">
        <v>41426</v>
      </c>
      <c r="J10" s="70">
        <v>41456</v>
      </c>
    </row>
    <row r="11" spans="1:11" x14ac:dyDescent="0.25">
      <c r="C11" s="11" t="s">
        <v>141</v>
      </c>
      <c r="D11" s="76">
        <f>D5</f>
        <v>34000</v>
      </c>
      <c r="E11" s="73">
        <f t="shared" ref="E11:J12" si="1">E5</f>
        <v>39500</v>
      </c>
      <c r="F11" s="73">
        <f t="shared" si="1"/>
        <v>38200</v>
      </c>
      <c r="G11" s="73">
        <f t="shared" si="1"/>
        <v>38350</v>
      </c>
      <c r="H11" s="73">
        <f t="shared" si="1"/>
        <v>38120</v>
      </c>
      <c r="I11" s="73">
        <f t="shared" si="1"/>
        <v>39400</v>
      </c>
      <c r="J11" s="73">
        <f t="shared" si="1"/>
        <v>40020</v>
      </c>
    </row>
    <row r="12" spans="1:11" x14ac:dyDescent="0.25">
      <c r="C12" s="11" t="s">
        <v>144</v>
      </c>
      <c r="D12" s="77">
        <f>D6</f>
        <v>0.05</v>
      </c>
      <c r="E12" s="75">
        <f t="shared" si="1"/>
        <v>0.05</v>
      </c>
      <c r="F12" s="75">
        <f t="shared" si="1"/>
        <v>0.05</v>
      </c>
      <c r="G12" s="75">
        <f t="shared" si="1"/>
        <v>0.05</v>
      </c>
      <c r="H12" s="75">
        <f t="shared" si="1"/>
        <v>0.05</v>
      </c>
      <c r="I12" s="75">
        <f t="shared" si="1"/>
        <v>0.05</v>
      </c>
      <c r="J12" s="75">
        <f t="shared" si="1"/>
        <v>0.05</v>
      </c>
    </row>
    <row r="13" spans="1:11" x14ac:dyDescent="0.25">
      <c r="C13" s="74" t="s">
        <v>145</v>
      </c>
      <c r="D13" s="76">
        <f>(D11*D12)+D11</f>
        <v>35700</v>
      </c>
      <c r="E13" s="73">
        <f t="shared" ref="E13:J13" si="2">(E11*E12)+E11</f>
        <v>41475</v>
      </c>
      <c r="F13" s="73">
        <f t="shared" si="2"/>
        <v>40110</v>
      </c>
      <c r="G13" s="73">
        <f t="shared" si="2"/>
        <v>40267.5</v>
      </c>
      <c r="H13" s="73">
        <f t="shared" si="2"/>
        <v>40026</v>
      </c>
      <c r="I13" s="73">
        <f t="shared" si="2"/>
        <v>41370</v>
      </c>
      <c r="J13" s="73">
        <f t="shared" si="2"/>
        <v>42021</v>
      </c>
    </row>
    <row r="14" spans="1:11" x14ac:dyDescent="0.25"/>
    <row r="15" spans="1:11" x14ac:dyDescent="0.25">
      <c r="B15" s="27" t="s">
        <v>47</v>
      </c>
    </row>
    <row r="16" spans="1:11" x14ac:dyDescent="0.25">
      <c r="D16" s="70">
        <v>41275</v>
      </c>
      <c r="E16" s="70">
        <v>41306</v>
      </c>
      <c r="F16" s="70">
        <v>41334</v>
      </c>
      <c r="G16" s="70">
        <v>41365</v>
      </c>
      <c r="H16" s="70">
        <v>41395</v>
      </c>
      <c r="I16" s="70">
        <v>41426</v>
      </c>
      <c r="J16" s="70">
        <v>41456</v>
      </c>
    </row>
    <row r="17" spans="1:11" x14ac:dyDescent="0.25">
      <c r="C17" s="11" t="s">
        <v>145</v>
      </c>
      <c r="D17" s="76">
        <f>D13</f>
        <v>35700</v>
      </c>
      <c r="E17" s="73">
        <f t="shared" ref="E17:J17" si="3">E13</f>
        <v>41475</v>
      </c>
      <c r="F17" s="73">
        <f t="shared" si="3"/>
        <v>40110</v>
      </c>
      <c r="G17" s="73">
        <f t="shared" si="3"/>
        <v>40267.5</v>
      </c>
      <c r="H17" s="73">
        <f t="shared" si="3"/>
        <v>40026</v>
      </c>
      <c r="I17" s="73">
        <f t="shared" si="3"/>
        <v>41370</v>
      </c>
      <c r="J17" s="73">
        <f t="shared" si="3"/>
        <v>42021</v>
      </c>
    </row>
    <row r="18" spans="1:11" x14ac:dyDescent="0.25">
      <c r="C18" s="11" t="s">
        <v>146</v>
      </c>
      <c r="D18" s="76">
        <f>D17</f>
        <v>35700</v>
      </c>
      <c r="E18" s="76">
        <f>E17+D18</f>
        <v>77175</v>
      </c>
      <c r="F18" s="73">
        <f>F17+E18</f>
        <v>117285</v>
      </c>
      <c r="G18" s="73">
        <f t="shared" ref="G18:J18" si="4">G17+F18</f>
        <v>157552.5</v>
      </c>
      <c r="H18" s="73">
        <f t="shared" si="4"/>
        <v>197578.5</v>
      </c>
      <c r="I18" s="73">
        <f t="shared" si="4"/>
        <v>238948.5</v>
      </c>
      <c r="J18" s="73">
        <f t="shared" si="4"/>
        <v>280969.5</v>
      </c>
    </row>
    <row r="19" spans="1:11" x14ac:dyDescent="0.25"/>
    <row r="20" spans="1:11" x14ac:dyDescent="0.25">
      <c r="A20" s="6" t="s">
        <v>39</v>
      </c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/>
  </sheetData>
  <conditionalFormatting sqref="K7">
    <cfRule type="cellIs" dxfId="2" priority="3" stopIfTrue="1" operator="equal">
      <formula>0</formula>
    </cfRule>
  </conditionalFormatting>
  <conditionalFormatting sqref="K7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dataValidations count="1">
    <dataValidation type="decimal" allowBlank="1" showInputMessage="1" showErrorMessage="1" sqref="D6:J6">
      <formula1>0</formula1>
      <formula2>1</formula2>
    </dataValidation>
  </dataValidation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R39"/>
  <sheetViews>
    <sheetView showGridLines="0" tabSelected="1" topLeftCell="A2" zoomScale="80" zoomScaleNormal="80" workbookViewId="0">
      <selection activeCell="E31" sqref="E31"/>
    </sheetView>
  </sheetViews>
  <sheetFormatPr defaultRowHeight="12.75" x14ac:dyDescent="0.2"/>
  <cols>
    <col min="1" max="1" width="1.140625" style="83" customWidth="1"/>
    <col min="2" max="2" width="9.140625" style="83"/>
    <col min="3" max="3" width="2.5703125" style="83" customWidth="1"/>
    <col min="4" max="4" width="27.42578125" style="83" customWidth="1"/>
    <col min="5" max="5" width="13.85546875" style="83" bestFit="1" customWidth="1"/>
    <col min="6" max="6" width="13.140625" style="83" customWidth="1"/>
    <col min="7" max="16" width="9.140625" style="83"/>
    <col min="17" max="17" width="12" style="83" customWidth="1"/>
    <col min="18" max="16384" width="9.140625" style="83"/>
  </cols>
  <sheetData>
    <row r="1" spans="1:18" ht="15" x14ac:dyDescent="0.25">
      <c r="A1" s="1" t="s">
        <v>164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">
      <c r="B2" s="82" t="s">
        <v>149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</row>
    <row r="3" spans="1:18" ht="6" customHeight="1" x14ac:dyDescent="0.2"/>
    <row r="4" spans="1:18" x14ac:dyDescent="0.2">
      <c r="E4" s="84" t="s">
        <v>150</v>
      </c>
    </row>
    <row r="5" spans="1:18" ht="15" x14ac:dyDescent="0.25">
      <c r="E5" s="85">
        <v>1</v>
      </c>
      <c r="F5" s="86" t="s">
        <v>151</v>
      </c>
      <c r="H5"/>
      <c r="I5"/>
    </row>
    <row r="6" spans="1:18" ht="15" x14ac:dyDescent="0.25">
      <c r="E6" s="85">
        <v>2</v>
      </c>
      <c r="F6" s="86" t="s">
        <v>152</v>
      </c>
      <c r="H6"/>
      <c r="I6"/>
    </row>
    <row r="7" spans="1:18" ht="15" x14ac:dyDescent="0.25">
      <c r="E7" s="85">
        <v>4</v>
      </c>
      <c r="F7" s="86" t="s">
        <v>153</v>
      </c>
      <c r="H7"/>
      <c r="I7"/>
    </row>
    <row r="8" spans="1:18" ht="15" x14ac:dyDescent="0.25">
      <c r="E8" s="85">
        <v>12</v>
      </c>
      <c r="F8" s="86" t="s">
        <v>154</v>
      </c>
      <c r="H8"/>
      <c r="I8"/>
    </row>
    <row r="9" spans="1:18" ht="15" x14ac:dyDescent="0.25">
      <c r="E9" s="85">
        <v>13</v>
      </c>
      <c r="F9" s="86" t="s">
        <v>155</v>
      </c>
      <c r="H9"/>
      <c r="I9"/>
    </row>
    <row r="10" spans="1:18" ht="15" x14ac:dyDescent="0.25">
      <c r="E10" s="85">
        <v>52</v>
      </c>
      <c r="F10" s="86" t="s">
        <v>156</v>
      </c>
      <c r="H10"/>
      <c r="I10"/>
    </row>
    <row r="11" spans="1:18" ht="15" x14ac:dyDescent="0.25">
      <c r="E11" s="85">
        <v>365</v>
      </c>
      <c r="F11" s="86" t="s">
        <v>157</v>
      </c>
      <c r="H11"/>
      <c r="I11"/>
    </row>
    <row r="12" spans="1:18" ht="15" x14ac:dyDescent="0.25">
      <c r="E12" s="85">
        <v>366</v>
      </c>
      <c r="F12" s="86" t="s">
        <v>158</v>
      </c>
      <c r="H12"/>
      <c r="I12"/>
    </row>
    <row r="13" spans="1:18" ht="9" customHeight="1" x14ac:dyDescent="0.2"/>
    <row r="14" spans="1:18" x14ac:dyDescent="0.2">
      <c r="B14" s="82" t="s">
        <v>58</v>
      </c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</row>
    <row r="16" spans="1:18" x14ac:dyDescent="0.2">
      <c r="D16" s="88" t="str">
        <f>F20&amp;" Number"</f>
        <v>Monthly Number</v>
      </c>
      <c r="E16" s="89">
        <v>0</v>
      </c>
      <c r="F16" s="89">
        <v>1</v>
      </c>
      <c r="G16" s="89">
        <v>2</v>
      </c>
      <c r="H16" s="89">
        <v>3</v>
      </c>
      <c r="I16" s="89">
        <v>4</v>
      </c>
      <c r="J16" s="89">
        <v>5</v>
      </c>
      <c r="K16" s="89">
        <v>6</v>
      </c>
      <c r="L16" s="89">
        <v>7</v>
      </c>
      <c r="M16" s="89">
        <v>8</v>
      </c>
      <c r="N16" s="89">
        <v>9</v>
      </c>
      <c r="O16" s="89">
        <v>10</v>
      </c>
      <c r="P16" s="89">
        <v>11</v>
      </c>
      <c r="Q16" s="89">
        <v>12</v>
      </c>
    </row>
    <row r="17" spans="2:18" x14ac:dyDescent="0.2">
      <c r="D17" s="88" t="s">
        <v>159</v>
      </c>
      <c r="E17" s="86">
        <v>-2000000</v>
      </c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>
        <v>2300000</v>
      </c>
    </row>
    <row r="18" spans="2:18" ht="26.25" customHeight="1" x14ac:dyDescent="0.2">
      <c r="D18" s="90" t="str">
        <f>F20&amp;" Income Flow "</f>
        <v xml:space="preserve">Monthly Income Flow </v>
      </c>
      <c r="E18" s="86"/>
      <c r="F18" s="86">
        <v>50000</v>
      </c>
      <c r="G18" s="86">
        <v>50000</v>
      </c>
      <c r="H18" s="86">
        <v>50000</v>
      </c>
      <c r="I18" s="86">
        <v>50000</v>
      </c>
      <c r="J18" s="86">
        <v>50000</v>
      </c>
      <c r="K18" s="86">
        <v>50000</v>
      </c>
      <c r="L18" s="86">
        <v>50000</v>
      </c>
      <c r="M18" s="86">
        <v>50000</v>
      </c>
      <c r="N18" s="86">
        <v>50000</v>
      </c>
      <c r="O18" s="86">
        <v>50000</v>
      </c>
      <c r="P18" s="86">
        <v>50000</v>
      </c>
      <c r="Q18" s="86">
        <v>50000</v>
      </c>
    </row>
    <row r="19" spans="2:18" ht="6.75" customHeight="1" x14ac:dyDescent="0.2"/>
    <row r="20" spans="2:18" x14ac:dyDescent="0.2">
      <c r="D20" s="88" t="s">
        <v>194</v>
      </c>
      <c r="E20" s="91">
        <v>12</v>
      </c>
      <c r="F20" s="92" t="str">
        <f>IF(ISERROR(VLOOKUP(E20,E5:F12,2,0)),"",(VLOOKUP(E20,E5:F12,2,0)))</f>
        <v>Monthly</v>
      </c>
    </row>
    <row r="21" spans="2:18" ht="5.25" customHeight="1" x14ac:dyDescent="0.2"/>
    <row r="22" spans="2:18" x14ac:dyDescent="0.2">
      <c r="D22" s="88" t="s">
        <v>193</v>
      </c>
      <c r="E22" s="93">
        <v>0.1</v>
      </c>
    </row>
    <row r="23" spans="2:18" ht="6" customHeight="1" x14ac:dyDescent="0.2"/>
    <row r="24" spans="2:18" x14ac:dyDescent="0.2">
      <c r="B24" s="82" t="s">
        <v>139</v>
      </c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</row>
    <row r="26" spans="2:18" x14ac:dyDescent="0.2">
      <c r="E26" s="89">
        <v>0</v>
      </c>
      <c r="F26" s="89">
        <v>1</v>
      </c>
      <c r="G26" s="89">
        <v>2</v>
      </c>
      <c r="H26" s="89">
        <v>3</v>
      </c>
      <c r="I26" s="89">
        <v>4</v>
      </c>
      <c r="J26" s="89">
        <v>5</v>
      </c>
      <c r="K26" s="89">
        <v>6</v>
      </c>
      <c r="L26" s="89">
        <v>7</v>
      </c>
      <c r="M26" s="89">
        <v>8</v>
      </c>
      <c r="N26" s="89">
        <v>9</v>
      </c>
      <c r="O26" s="89">
        <v>10</v>
      </c>
      <c r="P26" s="89">
        <v>11</v>
      </c>
      <c r="Q26" s="89">
        <v>12</v>
      </c>
    </row>
    <row r="27" spans="2:18" x14ac:dyDescent="0.2">
      <c r="D27" s="88" t="str">
        <f>"Net"&amp;F20&amp;" Flows"</f>
        <v>NetMonthly Flows</v>
      </c>
      <c r="E27" s="94">
        <f>SUM(E17:E18)</f>
        <v>-2000000</v>
      </c>
      <c r="F27" s="94">
        <f t="shared" ref="F27:Q27" si="0">SUM(F17:F18)</f>
        <v>50000</v>
      </c>
      <c r="G27" s="94">
        <f t="shared" si="0"/>
        <v>50000</v>
      </c>
      <c r="H27" s="94">
        <f t="shared" si="0"/>
        <v>50000</v>
      </c>
      <c r="I27" s="94">
        <f t="shared" si="0"/>
        <v>50000</v>
      </c>
      <c r="J27" s="94">
        <f t="shared" si="0"/>
        <v>50000</v>
      </c>
      <c r="K27" s="94">
        <f t="shared" si="0"/>
        <v>50000</v>
      </c>
      <c r="L27" s="94">
        <f t="shared" si="0"/>
        <v>50000</v>
      </c>
      <c r="M27" s="94">
        <f t="shared" si="0"/>
        <v>50000</v>
      </c>
      <c r="N27" s="94">
        <f t="shared" si="0"/>
        <v>50000</v>
      </c>
      <c r="O27" s="94">
        <f t="shared" si="0"/>
        <v>50000</v>
      </c>
      <c r="P27" s="94">
        <f t="shared" si="0"/>
        <v>50000</v>
      </c>
      <c r="Q27" s="94">
        <f t="shared" si="0"/>
        <v>2350000</v>
      </c>
    </row>
    <row r="29" spans="2:18" x14ac:dyDescent="0.2">
      <c r="D29" s="90" t="s">
        <v>160</v>
      </c>
      <c r="E29" s="95">
        <f>IRR(E27:Q27,-0.2)</f>
        <v>3.525750027243868E-2</v>
      </c>
    </row>
    <row r="30" spans="2:18" x14ac:dyDescent="0.2">
      <c r="D30" s="90" t="s">
        <v>195</v>
      </c>
      <c r="E30" s="95">
        <f>FV(E20,E29,0,-1)-1</f>
        <v>9.4648932933820928E-2</v>
      </c>
    </row>
    <row r="31" spans="2:18" x14ac:dyDescent="0.2">
      <c r="D31" s="90" t="s">
        <v>161</v>
      </c>
      <c r="E31" s="94">
        <f>NPV(E22,F27:Q27)+E27</f>
        <v>-926464.52812135871</v>
      </c>
    </row>
    <row r="32" spans="2:18" ht="6" customHeight="1" x14ac:dyDescent="0.2"/>
    <row r="33" spans="1:18" x14ac:dyDescent="0.2">
      <c r="B33" s="82" t="s">
        <v>162</v>
      </c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</row>
    <row r="34" spans="1:18" ht="4.5" customHeight="1" x14ac:dyDescent="0.2"/>
    <row r="35" spans="1:18" x14ac:dyDescent="0.2">
      <c r="D35" s="83" t="s">
        <v>163</v>
      </c>
      <c r="E35" s="95">
        <f>E22</f>
        <v>0.1</v>
      </c>
    </row>
    <row r="36" spans="1:18" x14ac:dyDescent="0.2">
      <c r="D36" s="83" t="s">
        <v>195</v>
      </c>
      <c r="E36" s="95">
        <f>E30</f>
        <v>9.4648932933820928E-2</v>
      </c>
    </row>
    <row r="37" spans="1:18" x14ac:dyDescent="0.2">
      <c r="D37" s="83" t="s">
        <v>161</v>
      </c>
      <c r="E37" s="94">
        <f>E31</f>
        <v>-926464.52812135871</v>
      </c>
    </row>
    <row r="38" spans="1:18" ht="8.25" customHeight="1" x14ac:dyDescent="0.2"/>
    <row r="39" spans="1:18" x14ac:dyDescent="0.2">
      <c r="A39" s="96" t="s">
        <v>39</v>
      </c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</row>
  </sheetData>
  <dataValidations disablePrompts="1" count="1">
    <dataValidation type="list" allowBlank="1" showInputMessage="1" showErrorMessage="1" sqref="E20">
      <formula1>$E$5:$E$12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Figure 3-1</vt:lpstr>
      <vt:lpstr>Figure 3-2</vt:lpstr>
      <vt:lpstr>Figure 3-3</vt:lpstr>
      <vt:lpstr>Figure 3-4</vt:lpstr>
      <vt:lpstr>Figure 3-5</vt:lpstr>
      <vt:lpstr>Figure 3-6</vt:lpstr>
      <vt:lpstr>Figure 3-7</vt:lpstr>
      <vt:lpstr>Figure 3-8</vt:lpstr>
      <vt:lpstr>Figure 3-9</vt:lpstr>
      <vt:lpstr>Figure 3-9a</vt:lpstr>
      <vt:lpstr>Figure 3-10</vt:lpstr>
      <vt:lpstr>Figure 3-11</vt:lpstr>
      <vt:lpstr>Figure 3-12</vt:lpstr>
      <vt:lpstr>Figure 3-13</vt:lpstr>
      <vt:lpstr>Figure 3-14</vt:lpstr>
      <vt:lpstr>Figure 3-15a</vt:lpstr>
      <vt:lpstr>Figure 3-15b</vt:lpstr>
      <vt:lpstr>Figure 3-15c</vt:lpstr>
      <vt:lpstr>Figure 3-16</vt:lpstr>
      <vt:lpstr>Figure 3-17</vt:lpstr>
      <vt:lpstr>Figure 3-18a</vt:lpstr>
      <vt:lpstr>Figure 3-18b</vt:lpstr>
      <vt:lpstr>Figure 3-19</vt:lpstr>
      <vt:lpstr>Figure 3-20</vt:lpstr>
      <vt:lpstr>Figure 3-21a</vt:lpstr>
      <vt:lpstr>Figure 3-21b</vt:lpstr>
      <vt:lpstr>Figure 3-21c</vt:lpstr>
      <vt:lpstr>Figure 3-22</vt:lpstr>
      <vt:lpstr>Figure 3-23</vt:lpstr>
      <vt:lpstr>Figure 3-24</vt:lpstr>
      <vt:lpstr>Figure 3-25</vt:lpstr>
      <vt:lpstr>Figure 3-26</vt:lpstr>
      <vt:lpstr>Figure 3-27</vt:lpstr>
      <vt:lpstr>Figure 3-28</vt:lpstr>
      <vt:lpstr>Figure 3-29</vt:lpstr>
      <vt:lpstr>Figure 3-30</vt:lpstr>
      <vt:lpstr>Figure 3-31</vt:lpstr>
      <vt:lpstr>Figure 3-32</vt:lpstr>
      <vt:lpstr>Figure 3-33</vt:lpstr>
      <vt:lpstr>Figure 3-34</vt:lpstr>
      <vt:lpstr>Figure 3-35</vt:lpstr>
      <vt:lpstr>Figure 3-37a</vt:lpstr>
      <vt:lpstr>Figure 3-37b</vt:lpstr>
      <vt:lpstr>Figure 3-38</vt:lpstr>
      <vt:lpstr>Figure 3-39a</vt:lpstr>
      <vt:lpstr>Figure 3-39b</vt:lpstr>
      <vt:lpstr>Figure 3-40</vt:lpstr>
      <vt:lpstr>Figure 3-41</vt:lpstr>
      <vt:lpstr>Figure 3-42</vt:lpstr>
      <vt:lpstr>Figure 3-43</vt:lpstr>
      <vt:lpstr>Figure 3-44</vt:lpstr>
      <vt:lpstr>Figure 3-46</vt:lpstr>
      <vt:lpstr>Figure 3-47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</dc:creator>
  <cp:lastModifiedBy>Jacl</cp:lastModifiedBy>
  <dcterms:created xsi:type="dcterms:W3CDTF">2013-05-29T19:37:24Z</dcterms:created>
  <dcterms:modified xsi:type="dcterms:W3CDTF">2013-10-29T11:12:31Z</dcterms:modified>
</cp:coreProperties>
</file>