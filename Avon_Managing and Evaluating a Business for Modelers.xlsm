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195" windowWidth="7635" windowHeight="1560"/>
  </bookViews>
  <sheets>
    <sheet name="Figure 9.1a" sheetId="5" r:id="rId1"/>
    <sheet name="Figure 9.1b" sheetId="6" r:id="rId2"/>
    <sheet name="Figure 9-2" sheetId="4" r:id="rId3"/>
    <sheet name="Figure 9-3" sheetId="2" r:id="rId4"/>
    <sheet name="Figure 9-4" sheetId="3" r:id="rId5"/>
  </sheets>
  <calcPr calcId="144525"/>
</workbook>
</file>

<file path=xl/calcChain.xml><?xml version="1.0" encoding="utf-8"?>
<calcChain xmlns="http://schemas.openxmlformats.org/spreadsheetml/2006/main">
  <c r="D22" i="3" l="1"/>
  <c r="D5" i="3"/>
  <c r="D15" i="3"/>
  <c r="D11" i="3"/>
  <c r="F14" i="6"/>
  <c r="E5" i="6"/>
  <c r="E7" i="6" s="1"/>
  <c r="E5" i="5"/>
  <c r="E7" i="5" s="1"/>
  <c r="G5" i="5" l="1"/>
  <c r="G10" i="5" s="1"/>
  <c r="G5" i="6"/>
  <c r="G10" i="6" s="1"/>
  <c r="F12" i="6" s="1"/>
  <c r="E22" i="4"/>
  <c r="E13" i="4" l="1"/>
  <c r="E5" i="4"/>
  <c r="E7" i="4" s="1"/>
  <c r="B2" i="3"/>
  <c r="D35" i="3"/>
  <c r="E15" i="4" l="1"/>
  <c r="E24" i="4" s="1"/>
  <c r="E26" i="4" s="1"/>
  <c r="E28" i="4" s="1"/>
  <c r="E30" i="4" s="1"/>
  <c r="D28" i="3"/>
  <c r="D24" i="3"/>
  <c r="D16" i="3"/>
  <c r="D8" i="3"/>
  <c r="D18" i="3" l="1"/>
  <c r="D30" i="3"/>
  <c r="D37" i="3" s="1"/>
  <c r="G16" i="2"/>
  <c r="G19" i="2" s="1"/>
  <c r="F16" i="2"/>
  <c r="F19" i="2" s="1"/>
  <c r="E16" i="2"/>
  <c r="E19" i="2" s="1"/>
  <c r="D19" i="2"/>
  <c r="E10" i="2"/>
  <c r="D10" i="2"/>
  <c r="E20" i="2" l="1"/>
  <c r="F5" i="2" s="1"/>
  <c r="F10" i="2" s="1"/>
  <c r="F20" i="2" s="1"/>
  <c r="G5" i="2" s="1"/>
  <c r="G10" i="2" s="1"/>
  <c r="G20" i="2" s="1"/>
  <c r="D20" i="2"/>
</calcChain>
</file>

<file path=xl/sharedStrings.xml><?xml version="1.0" encoding="utf-8"?>
<sst xmlns="http://schemas.openxmlformats.org/spreadsheetml/2006/main" count="90" uniqueCount="80">
  <si>
    <t>Inventory</t>
  </si>
  <si>
    <t>Equipment</t>
  </si>
  <si>
    <r>
      <t>Cash</t>
    </r>
    <r>
      <rPr>
        <b/>
        <sz val="11"/>
        <color rgb="FF000000"/>
        <rFont val="Calibri"/>
        <family val="2"/>
        <scheme val="minor"/>
      </rPr>
      <t> </t>
    </r>
    <r>
      <rPr>
        <b/>
        <sz val="11"/>
        <color rgb="FF231F20"/>
        <rFont val="Calibri"/>
        <family val="2"/>
        <scheme val="minor"/>
      </rPr>
      <t>In</t>
    </r>
    <r>
      <rPr>
        <b/>
        <sz val="11"/>
        <color rgb="FF000000"/>
        <rFont val="Calibri"/>
        <family val="2"/>
        <scheme val="minor"/>
      </rPr>
      <t> </t>
    </r>
    <r>
      <rPr>
        <b/>
        <sz val="11"/>
        <color rgb="FF231F20"/>
        <rFont val="Calibri"/>
        <family val="2"/>
        <scheme val="minor"/>
      </rPr>
      <t>(Sources)</t>
    </r>
  </si>
  <si>
    <r>
      <t>Beginning</t>
    </r>
    <r>
      <rPr>
        <sz val="11"/>
        <color rgb="FF000000"/>
        <rFont val="Calibri"/>
        <family val="2"/>
        <scheme val="minor"/>
      </rPr>
      <t> </t>
    </r>
    <r>
      <rPr>
        <sz val="11"/>
        <color rgb="FF231F20"/>
        <rFont val="Calibri"/>
        <family val="2"/>
        <scheme val="minor"/>
      </rPr>
      <t>Cash</t>
    </r>
    <r>
      <rPr>
        <sz val="11"/>
        <color rgb="FF000000"/>
        <rFont val="Calibri"/>
        <family val="2"/>
        <scheme val="minor"/>
      </rPr>
      <t> </t>
    </r>
    <r>
      <rPr>
        <sz val="11"/>
        <color rgb="FF231F20"/>
        <rFont val="Calibri"/>
        <family val="2"/>
        <scheme val="minor"/>
      </rPr>
      <t>Balance</t>
    </r>
  </si>
  <si>
    <r>
      <t>Cash</t>
    </r>
    <r>
      <rPr>
        <sz val="11"/>
        <color rgb="FF000000"/>
        <rFont val="Calibri"/>
        <family val="2"/>
        <scheme val="minor"/>
      </rPr>
      <t> </t>
    </r>
    <r>
      <rPr>
        <sz val="11"/>
        <color rgb="FF231F20"/>
        <rFont val="Calibri"/>
        <family val="2"/>
        <scheme val="minor"/>
      </rPr>
      <t>Sales</t>
    </r>
  </si>
  <si>
    <r>
      <t>Interest</t>
    </r>
    <r>
      <rPr>
        <sz val="11"/>
        <color rgb="FF000000"/>
        <rFont val="Calibri"/>
        <family val="2"/>
        <scheme val="minor"/>
      </rPr>
      <t> </t>
    </r>
    <r>
      <rPr>
        <sz val="11"/>
        <color rgb="FF231F20"/>
        <rFont val="Calibri"/>
        <family val="2"/>
        <scheme val="minor"/>
      </rPr>
      <t>Received</t>
    </r>
  </si>
  <si>
    <r>
      <t>Contributions</t>
    </r>
    <r>
      <rPr>
        <sz val="11"/>
        <color rgb="FF000000"/>
        <rFont val="Calibri"/>
        <family val="2"/>
        <scheme val="minor"/>
      </rPr>
      <t> </t>
    </r>
    <r>
      <rPr>
        <sz val="11"/>
        <color rgb="FF231F20"/>
        <rFont val="Calibri"/>
        <family val="2"/>
        <scheme val="minor"/>
      </rPr>
      <t>from</t>
    </r>
    <r>
      <rPr>
        <sz val="11"/>
        <color rgb="FF000000"/>
        <rFont val="Calibri"/>
        <family val="2"/>
        <scheme val="minor"/>
      </rPr>
      <t> </t>
    </r>
    <r>
      <rPr>
        <sz val="11"/>
        <color rgb="FF231F20"/>
        <rFont val="Calibri"/>
        <family val="2"/>
        <scheme val="minor"/>
      </rPr>
      <t>Owners</t>
    </r>
  </si>
  <si>
    <r>
      <t>Loans/Borrowed</t>
    </r>
    <r>
      <rPr>
        <sz val="11"/>
        <color rgb="FF000000"/>
        <rFont val="Calibri"/>
        <family val="2"/>
        <scheme val="minor"/>
      </rPr>
      <t> </t>
    </r>
    <r>
      <rPr>
        <sz val="11"/>
        <color rgb="FF231F20"/>
        <rFont val="Calibri"/>
        <family val="2"/>
        <scheme val="minor"/>
      </rPr>
      <t>Money</t>
    </r>
  </si>
  <si>
    <r>
      <t>Total</t>
    </r>
    <r>
      <rPr>
        <b/>
        <sz val="11"/>
        <color rgb="FF000000"/>
        <rFont val="Calibri"/>
        <family val="2"/>
        <scheme val="minor"/>
      </rPr>
      <t> </t>
    </r>
    <r>
      <rPr>
        <b/>
        <sz val="11"/>
        <color rgb="FF231F20"/>
        <rFont val="Calibri"/>
        <family val="2"/>
        <scheme val="minor"/>
      </rPr>
      <t>Receipts</t>
    </r>
  </si>
  <si>
    <r>
      <t>Operating</t>
    </r>
    <r>
      <rPr>
        <sz val="11"/>
        <color rgb="FF000000"/>
        <rFont val="Calibri"/>
        <family val="2"/>
        <scheme val="minor"/>
      </rPr>
      <t> </t>
    </r>
    <r>
      <rPr>
        <sz val="11"/>
        <color rgb="FF231F20"/>
        <rFont val="Calibri"/>
        <family val="2"/>
        <scheme val="minor"/>
      </rPr>
      <t>Expenses</t>
    </r>
  </si>
  <si>
    <r>
      <t>Furniture</t>
    </r>
    <r>
      <rPr>
        <sz val="11"/>
        <color rgb="FF000000"/>
        <rFont val="Calibri"/>
        <family val="2"/>
        <scheme val="minor"/>
      </rPr>
      <t> </t>
    </r>
    <r>
      <rPr>
        <sz val="11"/>
        <color rgb="FF231F20"/>
        <rFont val="Calibri"/>
        <family val="2"/>
        <scheme val="minor"/>
      </rPr>
      <t>and</t>
    </r>
    <r>
      <rPr>
        <sz val="11"/>
        <color rgb="FF000000"/>
        <rFont val="Calibri"/>
        <family val="2"/>
        <scheme val="minor"/>
      </rPr>
      <t> </t>
    </r>
    <r>
      <rPr>
        <sz val="11"/>
        <color rgb="FF231F20"/>
        <rFont val="Calibri"/>
        <family val="2"/>
        <scheme val="minor"/>
      </rPr>
      <t>Fixtures</t>
    </r>
  </si>
  <si>
    <r>
      <t>Income</t>
    </r>
    <r>
      <rPr>
        <sz val="11"/>
        <color rgb="FF000000"/>
        <rFont val="Calibri"/>
        <family val="2"/>
        <scheme val="minor"/>
      </rPr>
      <t> </t>
    </r>
    <r>
      <rPr>
        <sz val="11"/>
        <color rgb="FF231F20"/>
        <rFont val="Calibri"/>
        <family val="2"/>
        <scheme val="minor"/>
      </rPr>
      <t>Taxes</t>
    </r>
  </si>
  <si>
    <r>
      <t>Distributions</t>
    </r>
    <r>
      <rPr>
        <sz val="11"/>
        <color rgb="FF000000"/>
        <rFont val="Calibri"/>
        <family val="2"/>
        <scheme val="minor"/>
      </rPr>
      <t> </t>
    </r>
    <r>
      <rPr>
        <sz val="11"/>
        <color rgb="FF231F20"/>
        <rFont val="Calibri"/>
        <family val="2"/>
        <scheme val="minor"/>
      </rPr>
      <t>to</t>
    </r>
    <r>
      <rPr>
        <sz val="11"/>
        <color rgb="FF000000"/>
        <rFont val="Calibri"/>
        <family val="2"/>
        <scheme val="minor"/>
      </rPr>
      <t> </t>
    </r>
    <r>
      <rPr>
        <sz val="11"/>
        <color rgb="FF231F20"/>
        <rFont val="Calibri"/>
        <family val="2"/>
        <scheme val="minor"/>
      </rPr>
      <t>Owners</t>
    </r>
  </si>
  <si>
    <r>
      <t>Total</t>
    </r>
    <r>
      <rPr>
        <b/>
        <sz val="11"/>
        <color rgb="FF000000"/>
        <rFont val="Calibri"/>
        <family val="2"/>
        <scheme val="minor"/>
      </rPr>
      <t> </t>
    </r>
    <r>
      <rPr>
        <b/>
        <sz val="11"/>
        <color rgb="FF231F20"/>
        <rFont val="Calibri"/>
        <family val="2"/>
        <scheme val="minor"/>
      </rPr>
      <t>Disbursements</t>
    </r>
  </si>
  <si>
    <r>
      <t>Ending</t>
    </r>
    <r>
      <rPr>
        <b/>
        <sz val="11"/>
        <color rgb="FF000000"/>
        <rFont val="Calibri"/>
        <family val="2"/>
        <scheme val="minor"/>
      </rPr>
      <t> </t>
    </r>
    <r>
      <rPr>
        <b/>
        <sz val="11"/>
        <color rgb="FF231F20"/>
        <rFont val="Calibri"/>
        <family val="2"/>
        <scheme val="minor"/>
      </rPr>
      <t>Balance</t>
    </r>
  </si>
  <si>
    <t>Annual Budget</t>
  </si>
  <si>
    <t>Month 1 Forecast</t>
  </si>
  <si>
    <t>Month 2 Forecast</t>
  </si>
  <si>
    <t>Month 3 Forecast</t>
  </si>
  <si>
    <t>Interest Paid</t>
  </si>
  <si>
    <t>Fixed Assets</t>
  </si>
  <si>
    <t>Buildings</t>
  </si>
  <si>
    <t>Total Fixed Assets</t>
  </si>
  <si>
    <t>Current Assets</t>
  </si>
  <si>
    <t>Bank</t>
  </si>
  <si>
    <t>Current Liabilities</t>
  </si>
  <si>
    <t>Payables</t>
  </si>
  <si>
    <t>Prepayments</t>
  </si>
  <si>
    <t>Receivables</t>
  </si>
  <si>
    <t>Vehicles (Less Depreciation)</t>
  </si>
  <si>
    <t>Leasehold Improvements (Less Depreciation)</t>
  </si>
  <si>
    <t>Retained Earnings</t>
  </si>
  <si>
    <t>Total Assets</t>
  </si>
  <si>
    <t>Notes Payable to Shareholders</t>
  </si>
  <si>
    <t>Capital Invested</t>
  </si>
  <si>
    <t>Total Liabilities</t>
  </si>
  <si>
    <t>Total Liabilities &amp; Equity</t>
  </si>
  <si>
    <t>Sales Revenue</t>
  </si>
  <si>
    <t>Less: Returns and Allowance</t>
  </si>
  <si>
    <t>Net Sales Revenue</t>
  </si>
  <si>
    <t>Gross Profit</t>
  </si>
  <si>
    <t>Operating Expenses</t>
  </si>
  <si>
    <t>Selling Expenses</t>
  </si>
  <si>
    <t>Direct Costs</t>
  </si>
  <si>
    <t>Supplies &amp; Services</t>
  </si>
  <si>
    <t>Insurance</t>
  </si>
  <si>
    <t>Risk</t>
  </si>
  <si>
    <t>Salaries</t>
  </si>
  <si>
    <t>Admin Expenses</t>
  </si>
  <si>
    <t>Overheads</t>
  </si>
  <si>
    <t>EBIT</t>
  </si>
  <si>
    <t>EBITDA</t>
  </si>
  <si>
    <t>Interest - Paid/(Received)</t>
  </si>
  <si>
    <t>Depreciation</t>
  </si>
  <si>
    <t>Corporation Tax</t>
  </si>
  <si>
    <t>Non Such corporation</t>
  </si>
  <si>
    <t>Contribution</t>
  </si>
  <si>
    <t>Units</t>
  </si>
  <si>
    <t>Total fixed cost</t>
  </si>
  <si>
    <t>Total variable cost</t>
  </si>
  <si>
    <t>Selling price per unit</t>
  </si>
  <si>
    <t>Per unit</t>
  </si>
  <si>
    <t>Per month</t>
  </si>
  <si>
    <t>Long-term Liabilities</t>
  </si>
  <si>
    <t>Cash/Deposits</t>
  </si>
  <si>
    <t>Breakeven</t>
  </si>
  <si>
    <t>Units required to Breakeven</t>
  </si>
  <si>
    <t>Income Statement for the Year Ending December 2013</t>
  </si>
  <si>
    <t>Direct Labor</t>
  </si>
  <si>
    <t>Profit After Taxation</t>
  </si>
  <si>
    <t>Profit Before Taxation</t>
  </si>
  <si>
    <t>Sample Cash Flow Statement</t>
  </si>
  <si>
    <r>
      <t>Cash</t>
    </r>
    <r>
      <rPr>
        <b/>
        <sz val="11"/>
        <color rgb="FF000000"/>
        <rFont val="Calibri"/>
        <family val="2"/>
        <scheme val="minor"/>
      </rPr>
      <t> </t>
    </r>
    <r>
      <rPr>
        <b/>
        <sz val="11"/>
        <color rgb="FF231F20"/>
        <rFont val="Calibri"/>
        <family val="2"/>
        <scheme val="minor"/>
      </rPr>
      <t>Out</t>
    </r>
    <r>
      <rPr>
        <b/>
        <sz val="11"/>
        <color rgb="FF000000"/>
        <rFont val="Calibri"/>
        <family val="2"/>
        <scheme val="minor"/>
      </rPr>
      <t> </t>
    </r>
    <r>
      <rPr>
        <b/>
        <sz val="11"/>
        <color rgb="FF231F20"/>
        <rFont val="Calibri"/>
        <family val="2"/>
        <scheme val="minor"/>
      </rPr>
      <t>(Uses)</t>
    </r>
  </si>
  <si>
    <t>Tax Payable</t>
  </si>
  <si>
    <t>Short-term Loans</t>
  </si>
  <si>
    <t>Bank Loans Payable</t>
  </si>
  <si>
    <t>Total long-term Liabilities</t>
  </si>
  <si>
    <t>Owner's Equity</t>
  </si>
  <si>
    <t>Total Owner's Equity</t>
  </si>
  <si>
    <t>(In 1,000s)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</si>
</sst>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;[Red]\(#,##0\);&quot; - &quot;"/>
    <numFmt numFmtId="165" formatCode="[$$-409]#,##0"/>
  </numFmts>
  <fonts count="1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231F20"/>
      <name val="Calibri"/>
      <family val="2"/>
      <scheme val="minor"/>
    </font>
    <font>
      <sz val="11"/>
      <color rgb="FF231F2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1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9" fillId="0" borderId="0"/>
  </cellStyleXfs>
  <cellXfs count="50">
    <xf numFmtId="0" fontId="0" fillId="0" borderId="0" xfId="0"/>
    <xf numFmtId="0" fontId="3" fillId="0" borderId="0" xfId="0" applyFont="1"/>
    <xf numFmtId="0" fontId="0" fillId="0" borderId="0" xfId="0" applyFont="1"/>
    <xf numFmtId="0" fontId="6" fillId="0" borderId="0" xfId="0" applyFont="1" applyAlignment="1">
      <alignment horizontal="left" vertical="center" wrapText="1" indent="2"/>
    </xf>
    <xf numFmtId="0" fontId="7" fillId="0" borderId="0" xfId="0" applyFont="1" applyAlignment="1">
      <alignment horizontal="left" vertical="center" wrapText="1" indent="2"/>
    </xf>
    <xf numFmtId="0" fontId="7" fillId="0" borderId="0" xfId="0" applyFont="1" applyAlignment="1">
      <alignment horizontal="left" vertical="center" wrapText="1" indent="5"/>
    </xf>
    <xf numFmtId="0" fontId="6" fillId="0" borderId="0" xfId="0" applyFont="1"/>
    <xf numFmtId="164" fontId="0" fillId="0" borderId="0" xfId="0" applyNumberFormat="1" applyFont="1"/>
    <xf numFmtId="164" fontId="2" fillId="0" borderId="0" xfId="0" applyNumberFormat="1" applyFont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/>
    <xf numFmtId="3" fontId="0" fillId="0" borderId="0" xfId="0" applyNumberFormat="1"/>
    <xf numFmtId="164" fontId="0" fillId="0" borderId="0" xfId="0" applyNumberFormat="1"/>
    <xf numFmtId="0" fontId="1" fillId="0" borderId="0" xfId="0" applyFont="1"/>
    <xf numFmtId="0" fontId="0" fillId="0" borderId="0" xfId="0" applyAlignment="1">
      <alignment horizontal="left" indent="2"/>
    </xf>
    <xf numFmtId="0" fontId="8" fillId="0" borderId="0" xfId="0" applyFont="1"/>
    <xf numFmtId="3" fontId="0" fillId="0" borderId="2" xfId="0" applyNumberFormat="1" applyBorder="1"/>
    <xf numFmtId="0" fontId="2" fillId="0" borderId="0" xfId="0" applyFont="1" applyAlignment="1">
      <alignment horizontal="left"/>
    </xf>
    <xf numFmtId="3" fontId="2" fillId="0" borderId="0" xfId="0" applyNumberFormat="1" applyFont="1"/>
    <xf numFmtId="0" fontId="2" fillId="0" borderId="3" xfId="0" applyFont="1" applyBorder="1" applyAlignment="1">
      <alignment horizontal="left"/>
    </xf>
    <xf numFmtId="0" fontId="0" fillId="0" borderId="3" xfId="0" applyBorder="1"/>
    <xf numFmtId="3" fontId="2" fillId="0" borderId="3" xfId="0" applyNumberFormat="1" applyFont="1" applyBorder="1"/>
    <xf numFmtId="0" fontId="0" fillId="0" borderId="0" xfId="0" applyBorder="1"/>
    <xf numFmtId="0" fontId="2" fillId="0" borderId="3" xfId="0" applyFont="1" applyBorder="1"/>
    <xf numFmtId="0" fontId="11" fillId="0" borderId="0" xfId="0" applyFont="1" applyAlignment="1">
      <alignment horizontal="center"/>
    </xf>
    <xf numFmtId="0" fontId="10" fillId="3" borderId="0" xfId="0" applyFont="1" applyFill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 applyAlignment="1">
      <alignment horizontal="center"/>
    </xf>
    <xf numFmtId="165" fontId="0" fillId="0" borderId="5" xfId="0" applyNumberFormat="1" applyBorder="1"/>
    <xf numFmtId="3" fontId="0" fillId="0" borderId="5" xfId="0" applyNumberFormat="1" applyBorder="1"/>
    <xf numFmtId="0" fontId="0" fillId="0" borderId="10" xfId="0" applyBorder="1"/>
    <xf numFmtId="165" fontId="0" fillId="0" borderId="0" xfId="0" applyNumberFormat="1" applyBorder="1"/>
    <xf numFmtId="0" fontId="0" fillId="0" borderId="11" xfId="0" applyBorder="1"/>
    <xf numFmtId="165" fontId="0" fillId="0" borderId="8" xfId="0" applyNumberFormat="1" applyBorder="1"/>
    <xf numFmtId="0" fontId="0" fillId="0" borderId="9" xfId="0" applyBorder="1"/>
    <xf numFmtId="0" fontId="0" fillId="4" borderId="12" xfId="0" applyFill="1" applyBorder="1"/>
    <xf numFmtId="0" fontId="0" fillId="4" borderId="13" xfId="0" applyFill="1" applyBorder="1"/>
    <xf numFmtId="3" fontId="0" fillId="4" borderId="13" xfId="0" applyNumberFormat="1" applyFill="1" applyBorder="1"/>
    <xf numFmtId="0" fontId="0" fillId="4" borderId="14" xfId="0" applyFill="1" applyBorder="1"/>
    <xf numFmtId="0" fontId="12" fillId="0" borderId="0" xfId="0" applyFont="1"/>
    <xf numFmtId="3" fontId="0" fillId="0" borderId="0" xfId="0" applyNumberFormat="1" applyFont="1"/>
    <xf numFmtId="164" fontId="0" fillId="0" borderId="2" xfId="0" applyNumberFormat="1" applyFont="1" applyBorder="1"/>
    <xf numFmtId="0" fontId="2" fillId="2" borderId="3" xfId="0" applyFont="1" applyFill="1" applyBorder="1"/>
    <xf numFmtId="3" fontId="0" fillId="2" borderId="3" xfId="0" applyNumberFormat="1" applyFont="1" applyFill="1" applyBorder="1"/>
    <xf numFmtId="164" fontId="2" fillId="2" borderId="3" xfId="0" applyNumberFormat="1" applyFont="1" applyFill="1" applyBorder="1"/>
    <xf numFmtId="0" fontId="0" fillId="2" borderId="3" xfId="0" applyFont="1" applyFill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"/>
  <sheetViews>
    <sheetView showGridLines="0" tabSelected="1" workbookViewId="0">
      <selection activeCell="D29" sqref="D29"/>
    </sheetView>
  </sheetViews>
  <sheetFormatPr defaultRowHeight="15" x14ac:dyDescent="0.25"/>
  <cols>
    <col min="1" max="1" width="3.5703125" customWidth="1"/>
    <col min="2" max="2" width="4.140625" customWidth="1"/>
    <col min="3" max="3" width="4" customWidth="1"/>
    <col min="4" max="4" width="26.42578125" customWidth="1"/>
    <col min="5" max="5" width="11.42578125" customWidth="1"/>
    <col min="7" max="7" width="12.42578125" customWidth="1"/>
  </cols>
  <sheetData>
    <row r="1" spans="1:11" ht="7.5" customHeight="1" x14ac:dyDescent="0.25"/>
    <row r="2" spans="1:11" x14ac:dyDescent="0.25">
      <c r="A2" s="25"/>
      <c r="B2" s="25" t="s">
        <v>55</v>
      </c>
      <c r="C2" s="25"/>
      <c r="D2" s="25"/>
      <c r="E2" s="25"/>
      <c r="F2" s="25"/>
      <c r="G2" s="25"/>
      <c r="H2" s="25"/>
      <c r="I2" s="25"/>
      <c r="J2" s="25"/>
      <c r="K2" s="25"/>
    </row>
    <row r="3" spans="1:11" x14ac:dyDescent="0.25">
      <c r="A3" s="25"/>
      <c r="B3" s="25" t="s">
        <v>65</v>
      </c>
      <c r="C3" s="25"/>
      <c r="D3" s="25"/>
      <c r="E3" s="25"/>
      <c r="F3" s="25"/>
      <c r="G3" s="25"/>
      <c r="H3" s="25"/>
      <c r="I3" s="25"/>
      <c r="J3" s="25"/>
      <c r="K3" s="25"/>
    </row>
    <row r="4" spans="1:11" x14ac:dyDescent="0.25">
      <c r="E4" s="24" t="s">
        <v>62</v>
      </c>
      <c r="F4" s="24" t="s">
        <v>57</v>
      </c>
      <c r="G4" s="24" t="s">
        <v>61</v>
      </c>
    </row>
    <row r="5" spans="1:11" x14ac:dyDescent="0.25">
      <c r="D5" s="26" t="s">
        <v>59</v>
      </c>
      <c r="E5" s="32">
        <f>F5*11</f>
        <v>55000</v>
      </c>
      <c r="F5" s="33">
        <v>5000</v>
      </c>
      <c r="G5" s="28">
        <f>E5/F5</f>
        <v>11</v>
      </c>
    </row>
    <row r="6" spans="1:11" x14ac:dyDescent="0.25">
      <c r="D6" s="34" t="s">
        <v>58</v>
      </c>
      <c r="E6" s="35">
        <v>25000</v>
      </c>
      <c r="F6" s="22"/>
      <c r="G6" s="36"/>
    </row>
    <row r="7" spans="1:11" x14ac:dyDescent="0.25">
      <c r="D7" s="29"/>
      <c r="E7" s="37">
        <f>SUM(E5:E6)</f>
        <v>80000</v>
      </c>
      <c r="F7" s="30"/>
      <c r="G7" s="38"/>
    </row>
    <row r="9" spans="1:11" x14ac:dyDescent="0.25">
      <c r="D9" s="26" t="s">
        <v>60</v>
      </c>
      <c r="E9" s="27"/>
      <c r="F9" s="27"/>
      <c r="G9" s="28">
        <v>15</v>
      </c>
    </row>
    <row r="10" spans="1:11" x14ac:dyDescent="0.25">
      <c r="D10" s="29" t="s">
        <v>56</v>
      </c>
      <c r="E10" s="30"/>
      <c r="F10" s="30"/>
      <c r="G10" s="31">
        <f>G9-G5</f>
        <v>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4"/>
  <sheetViews>
    <sheetView showGridLines="0" workbookViewId="0">
      <selection activeCell="F12" sqref="F12"/>
    </sheetView>
  </sheetViews>
  <sheetFormatPr defaultRowHeight="15" x14ac:dyDescent="0.25"/>
  <cols>
    <col min="1" max="1" width="3.5703125" customWidth="1"/>
    <col min="2" max="2" width="4.140625" customWidth="1"/>
    <col min="3" max="3" width="6.85546875" customWidth="1"/>
    <col min="4" max="4" width="26.42578125" customWidth="1"/>
    <col min="5" max="5" width="11.42578125" customWidth="1"/>
    <col min="7" max="7" width="12.42578125" customWidth="1"/>
  </cols>
  <sheetData>
    <row r="1" spans="1:11" ht="7.5" customHeight="1" x14ac:dyDescent="0.25"/>
    <row r="2" spans="1:11" x14ac:dyDescent="0.25">
      <c r="A2" s="25"/>
      <c r="B2" s="25" t="s">
        <v>55</v>
      </c>
      <c r="C2" s="25"/>
      <c r="D2" s="25"/>
      <c r="E2" s="25"/>
      <c r="F2" s="25"/>
      <c r="G2" s="25"/>
      <c r="H2" s="25"/>
      <c r="I2" s="25"/>
      <c r="J2" s="25"/>
      <c r="K2" s="25"/>
    </row>
    <row r="3" spans="1:11" x14ac:dyDescent="0.25">
      <c r="A3" s="25"/>
      <c r="B3" s="25" t="s">
        <v>65</v>
      </c>
      <c r="C3" s="25"/>
      <c r="D3" s="25"/>
      <c r="E3" s="25"/>
      <c r="F3" s="25"/>
      <c r="G3" s="25"/>
      <c r="H3" s="25"/>
      <c r="I3" s="25"/>
      <c r="J3" s="25"/>
      <c r="K3" s="25"/>
    </row>
    <row r="4" spans="1:11" x14ac:dyDescent="0.25">
      <c r="E4" s="24" t="s">
        <v>62</v>
      </c>
      <c r="F4" s="24" t="s">
        <v>57</v>
      </c>
      <c r="G4" s="24" t="s">
        <v>61</v>
      </c>
    </row>
    <row r="5" spans="1:11" x14ac:dyDescent="0.25">
      <c r="D5" s="26" t="s">
        <v>59</v>
      </c>
      <c r="E5" s="32">
        <f>F5*11</f>
        <v>55000</v>
      </c>
      <c r="F5" s="33">
        <v>5000</v>
      </c>
      <c r="G5" s="28">
        <f>E5/F5</f>
        <v>11</v>
      </c>
    </row>
    <row r="6" spans="1:11" x14ac:dyDescent="0.25">
      <c r="D6" s="34" t="s">
        <v>58</v>
      </c>
      <c r="E6" s="35">
        <v>25000</v>
      </c>
      <c r="F6" s="22"/>
      <c r="G6" s="36"/>
    </row>
    <row r="7" spans="1:11" x14ac:dyDescent="0.25">
      <c r="D7" s="29"/>
      <c r="E7" s="37">
        <f>SUM(E5:E6)</f>
        <v>80000</v>
      </c>
      <c r="F7" s="30"/>
      <c r="G7" s="38"/>
    </row>
    <row r="9" spans="1:11" x14ac:dyDescent="0.25">
      <c r="D9" s="26" t="s">
        <v>60</v>
      </c>
      <c r="E9" s="27"/>
      <c r="F9" s="27"/>
      <c r="G9" s="28">
        <v>15</v>
      </c>
    </row>
    <row r="10" spans="1:11" x14ac:dyDescent="0.25">
      <c r="D10" s="29" t="s">
        <v>56</v>
      </c>
      <c r="E10" s="30"/>
      <c r="F10" s="30"/>
      <c r="G10" s="31">
        <f>G9-G5</f>
        <v>4</v>
      </c>
    </row>
    <row r="12" spans="1:11" x14ac:dyDescent="0.25">
      <c r="D12" s="39" t="s">
        <v>66</v>
      </c>
      <c r="E12" s="40"/>
      <c r="F12" s="41">
        <f>E6/G10</f>
        <v>6250</v>
      </c>
      <c r="G12" s="42"/>
    </row>
    <row r="14" spans="1:11" x14ac:dyDescent="0.25">
      <c r="F14">
        <f>F12*G9</f>
        <v>93750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30"/>
  <sheetViews>
    <sheetView showGridLines="0" zoomScale="90" zoomScaleNormal="90" workbookViewId="0">
      <selection activeCell="L35" sqref="L35"/>
    </sheetView>
  </sheetViews>
  <sheetFormatPr defaultRowHeight="15" x14ac:dyDescent="0.25"/>
  <cols>
    <col min="1" max="1" width="5" customWidth="1"/>
    <col min="2" max="2" width="31.5703125" customWidth="1"/>
  </cols>
  <sheetData>
    <row r="2" spans="2:6" ht="18.75" x14ac:dyDescent="0.3">
      <c r="B2" s="13" t="s">
        <v>67</v>
      </c>
    </row>
    <row r="3" spans="2:6" x14ac:dyDescent="0.25">
      <c r="B3" s="10" t="s">
        <v>79</v>
      </c>
    </row>
    <row r="5" spans="2:6" x14ac:dyDescent="0.25">
      <c r="B5" t="s">
        <v>37</v>
      </c>
      <c r="E5" s="11">
        <f>40521</f>
        <v>40521</v>
      </c>
    </row>
    <row r="6" spans="2:6" x14ac:dyDescent="0.25">
      <c r="B6" s="14" t="s">
        <v>38</v>
      </c>
      <c r="E6" s="22">
        <v>340</v>
      </c>
    </row>
    <row r="7" spans="2:6" x14ac:dyDescent="0.25">
      <c r="B7" s="23" t="s">
        <v>39</v>
      </c>
      <c r="C7" s="23"/>
      <c r="D7" s="23"/>
      <c r="E7" s="21">
        <f>E5-E6</f>
        <v>40181</v>
      </c>
    </row>
    <row r="8" spans="2:6" x14ac:dyDescent="0.25">
      <c r="B8" s="15" t="s">
        <v>43</v>
      </c>
      <c r="D8" s="11"/>
      <c r="E8" s="11"/>
    </row>
    <row r="9" spans="2:6" x14ac:dyDescent="0.25">
      <c r="B9" s="14" t="s">
        <v>44</v>
      </c>
      <c r="D9" s="11"/>
      <c r="E9" s="11">
        <v>30250</v>
      </c>
    </row>
    <row r="10" spans="2:6" x14ac:dyDescent="0.25">
      <c r="B10" s="14" t="s">
        <v>68</v>
      </c>
      <c r="D10" s="11"/>
      <c r="E10" s="11">
        <v>6035</v>
      </c>
    </row>
    <row r="11" spans="2:6" x14ac:dyDescent="0.25">
      <c r="B11" s="14" t="s">
        <v>45</v>
      </c>
      <c r="D11" s="11"/>
      <c r="E11" s="11">
        <v>125</v>
      </c>
    </row>
    <row r="12" spans="2:6" x14ac:dyDescent="0.25">
      <c r="B12" s="14" t="s">
        <v>46</v>
      </c>
      <c r="D12" s="11"/>
      <c r="E12" s="16">
        <v>360</v>
      </c>
    </row>
    <row r="13" spans="2:6" x14ac:dyDescent="0.25">
      <c r="B13" s="14"/>
      <c r="D13" s="11"/>
      <c r="E13" s="11">
        <f>SUM(E9:E12)</f>
        <v>36770</v>
      </c>
    </row>
    <row r="14" spans="2:6" ht="6.75" customHeight="1" x14ac:dyDescent="0.25">
      <c r="F14" s="18"/>
    </row>
    <row r="15" spans="2:6" x14ac:dyDescent="0.25">
      <c r="B15" s="19" t="s">
        <v>40</v>
      </c>
      <c r="C15" s="20"/>
      <c r="D15" s="20"/>
      <c r="E15" s="21">
        <f>E7-E13</f>
        <v>3411</v>
      </c>
    </row>
    <row r="16" spans="2:6" ht="9" customHeight="1" x14ac:dyDescent="0.25"/>
    <row r="17" spans="2:5" x14ac:dyDescent="0.25">
      <c r="B17" s="15" t="s">
        <v>41</v>
      </c>
    </row>
    <row r="18" spans="2:5" x14ac:dyDescent="0.25">
      <c r="B18" s="14" t="s">
        <v>42</v>
      </c>
      <c r="E18" s="11">
        <v>290</v>
      </c>
    </row>
    <row r="19" spans="2:5" x14ac:dyDescent="0.25">
      <c r="B19" s="14" t="s">
        <v>47</v>
      </c>
      <c r="E19" s="11">
        <v>644</v>
      </c>
    </row>
    <row r="20" spans="2:5" x14ac:dyDescent="0.25">
      <c r="B20" s="14" t="s">
        <v>48</v>
      </c>
      <c r="E20" s="11">
        <v>540</v>
      </c>
    </row>
    <row r="21" spans="2:5" x14ac:dyDescent="0.25">
      <c r="B21" s="14" t="s">
        <v>49</v>
      </c>
      <c r="E21" s="16">
        <v>890</v>
      </c>
    </row>
    <row r="22" spans="2:5" x14ac:dyDescent="0.25">
      <c r="E22" s="18">
        <f>SUM(E18:E21)</f>
        <v>2364</v>
      </c>
    </row>
    <row r="23" spans="2:5" ht="6.75" customHeight="1" x14ac:dyDescent="0.25"/>
    <row r="24" spans="2:5" x14ac:dyDescent="0.25">
      <c r="B24" s="19" t="s">
        <v>51</v>
      </c>
      <c r="C24" s="20"/>
      <c r="D24" s="20"/>
      <c r="E24" s="21">
        <f>E15-E22</f>
        <v>1047</v>
      </c>
    </row>
    <row r="25" spans="2:5" x14ac:dyDescent="0.25">
      <c r="B25" s="14" t="s">
        <v>53</v>
      </c>
      <c r="E25" s="11">
        <v>195</v>
      </c>
    </row>
    <row r="26" spans="2:5" x14ac:dyDescent="0.25">
      <c r="B26" s="19" t="s">
        <v>50</v>
      </c>
      <c r="C26" s="20"/>
      <c r="D26" s="20"/>
      <c r="E26" s="21">
        <f>E24-E25</f>
        <v>852</v>
      </c>
    </row>
    <row r="27" spans="2:5" x14ac:dyDescent="0.25">
      <c r="B27" s="14" t="s">
        <v>52</v>
      </c>
      <c r="E27">
        <v>78</v>
      </c>
    </row>
    <row r="28" spans="2:5" x14ac:dyDescent="0.25">
      <c r="B28" s="17" t="s">
        <v>70</v>
      </c>
      <c r="E28" s="18">
        <f>E26-E27</f>
        <v>774</v>
      </c>
    </row>
    <row r="29" spans="2:5" x14ac:dyDescent="0.25">
      <c r="B29" s="14" t="s">
        <v>54</v>
      </c>
      <c r="E29" s="11">
        <v>73</v>
      </c>
    </row>
    <row r="30" spans="2:5" x14ac:dyDescent="0.25">
      <c r="B30" s="19" t="s">
        <v>69</v>
      </c>
      <c r="C30" s="20"/>
      <c r="D30" s="20"/>
      <c r="E30" s="21">
        <f>E28-E29</f>
        <v>701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20"/>
  <sheetViews>
    <sheetView showGridLines="0" workbookViewId="0">
      <selection activeCell="L24" sqref="L24"/>
    </sheetView>
  </sheetViews>
  <sheetFormatPr defaultRowHeight="15" x14ac:dyDescent="0.25"/>
  <cols>
    <col min="1" max="1" width="9.140625" style="2"/>
    <col min="2" max="2" width="33" style="2" customWidth="1"/>
    <col min="3" max="3" width="9.140625" style="2"/>
    <col min="4" max="4" width="12.140625" style="2" customWidth="1"/>
    <col min="5" max="16384" width="9.140625" style="2"/>
  </cols>
  <sheetData>
    <row r="2" spans="2:7" ht="15.75" x14ac:dyDescent="0.25">
      <c r="B2" s="1" t="s">
        <v>71</v>
      </c>
    </row>
    <row r="3" spans="2:7" ht="30" x14ac:dyDescent="0.25">
      <c r="D3" s="9" t="s">
        <v>15</v>
      </c>
      <c r="E3" s="9" t="s">
        <v>16</v>
      </c>
      <c r="F3" s="9" t="s">
        <v>17</v>
      </c>
      <c r="G3" s="9" t="s">
        <v>18</v>
      </c>
    </row>
    <row r="4" spans="2:7" x14ac:dyDescent="0.25">
      <c r="B4" s="3" t="s">
        <v>2</v>
      </c>
    </row>
    <row r="5" spans="2:7" x14ac:dyDescent="0.25">
      <c r="B5" s="4" t="s">
        <v>3</v>
      </c>
      <c r="D5" s="7">
        <v>0</v>
      </c>
      <c r="E5" s="7">
        <v>0</v>
      </c>
      <c r="F5" s="7">
        <f>E20</f>
        <v>2850</v>
      </c>
      <c r="G5" s="7">
        <f>F20</f>
        <v>203750</v>
      </c>
    </row>
    <row r="6" spans="2:7" x14ac:dyDescent="0.25">
      <c r="B6" s="5" t="s">
        <v>4</v>
      </c>
      <c r="D6" s="7">
        <v>1500000</v>
      </c>
      <c r="E6" s="7">
        <v>0</v>
      </c>
      <c r="F6" s="7">
        <v>175000</v>
      </c>
      <c r="G6" s="7">
        <v>185000</v>
      </c>
    </row>
    <row r="7" spans="2:7" x14ac:dyDescent="0.25">
      <c r="B7" s="5" t="s">
        <v>5</v>
      </c>
      <c r="D7" s="7">
        <v>15000</v>
      </c>
      <c r="E7" s="7">
        <v>0</v>
      </c>
      <c r="F7" s="7">
        <v>2300</v>
      </c>
      <c r="G7" s="7">
        <v>4600</v>
      </c>
    </row>
    <row r="8" spans="2:7" x14ac:dyDescent="0.25">
      <c r="B8" s="5" t="s">
        <v>6</v>
      </c>
      <c r="D8" s="7">
        <v>540000</v>
      </c>
      <c r="E8" s="7">
        <v>170000</v>
      </c>
      <c r="F8" s="7">
        <v>300000</v>
      </c>
      <c r="G8" s="7">
        <v>0</v>
      </c>
    </row>
    <row r="9" spans="2:7" x14ac:dyDescent="0.25">
      <c r="B9" s="5" t="s">
        <v>7</v>
      </c>
      <c r="D9" s="7">
        <v>423000</v>
      </c>
      <c r="E9" s="7">
        <v>25000</v>
      </c>
      <c r="F9" s="7">
        <v>0</v>
      </c>
      <c r="G9" s="7">
        <v>0</v>
      </c>
    </row>
    <row r="10" spans="2:7" x14ac:dyDescent="0.25">
      <c r="B10" s="3" t="s">
        <v>8</v>
      </c>
      <c r="D10" s="8">
        <f>SUM(D5:D9)</f>
        <v>2478000</v>
      </c>
      <c r="E10" s="8">
        <f t="shared" ref="E10:G10" si="0">SUM(E5:E9)</f>
        <v>195000</v>
      </c>
      <c r="F10" s="8">
        <f t="shared" si="0"/>
        <v>480150</v>
      </c>
      <c r="G10" s="8">
        <f t="shared" si="0"/>
        <v>393350</v>
      </c>
    </row>
    <row r="11" spans="2:7" x14ac:dyDescent="0.25">
      <c r="B11" s="3" t="s">
        <v>72</v>
      </c>
      <c r="E11" s="7"/>
      <c r="F11" s="7"/>
      <c r="G11" s="7"/>
    </row>
    <row r="12" spans="2:7" x14ac:dyDescent="0.25">
      <c r="B12" s="5" t="s">
        <v>0</v>
      </c>
      <c r="D12" s="7">
        <v>-70000</v>
      </c>
      <c r="E12" s="7">
        <v>0</v>
      </c>
      <c r="F12" s="7">
        <v>0</v>
      </c>
      <c r="G12" s="7"/>
    </row>
    <row r="13" spans="2:7" x14ac:dyDescent="0.25">
      <c r="B13" s="5" t="s">
        <v>9</v>
      </c>
      <c r="D13" s="7">
        <v>-818000</v>
      </c>
      <c r="E13" s="7">
        <v>-67000</v>
      </c>
      <c r="F13" s="7">
        <v>-74500</v>
      </c>
      <c r="G13" s="7">
        <v>-78100</v>
      </c>
    </row>
    <row r="14" spans="2:7" x14ac:dyDescent="0.25">
      <c r="B14" s="5" t="s">
        <v>10</v>
      </c>
      <c r="D14" s="7">
        <v>-200000</v>
      </c>
      <c r="E14" s="7">
        <v>-79000</v>
      </c>
      <c r="F14" s="7">
        <v>-91000</v>
      </c>
      <c r="G14" s="7">
        <v>0</v>
      </c>
    </row>
    <row r="15" spans="2:7" x14ac:dyDescent="0.25">
      <c r="B15" s="5" t="s">
        <v>1</v>
      </c>
      <c r="D15" s="7">
        <v>-95000</v>
      </c>
      <c r="E15" s="7">
        <v>-25000</v>
      </c>
      <c r="F15" s="7">
        <v>-60500</v>
      </c>
      <c r="G15" s="7">
        <v>0</v>
      </c>
    </row>
    <row r="16" spans="2:7" x14ac:dyDescent="0.25">
      <c r="B16" s="5" t="s">
        <v>19</v>
      </c>
      <c r="D16" s="7"/>
      <c r="E16" s="7">
        <f>-(D9*0.05)</f>
        <v>-21150</v>
      </c>
      <c r="F16" s="7">
        <f>-SUM($D$9:E9)*0.05</f>
        <v>-22400</v>
      </c>
      <c r="G16" s="7">
        <f>-SUM($D$9:F9)*0.05</f>
        <v>-22400</v>
      </c>
    </row>
    <row r="17" spans="2:7" x14ac:dyDescent="0.25">
      <c r="B17" s="5" t="s">
        <v>11</v>
      </c>
      <c r="D17" s="7">
        <v>-100000</v>
      </c>
      <c r="E17" s="7">
        <v>0</v>
      </c>
      <c r="F17" s="7">
        <v>-28000</v>
      </c>
      <c r="G17" s="7">
        <v>-30000</v>
      </c>
    </row>
    <row r="18" spans="2:7" x14ac:dyDescent="0.25">
      <c r="B18" s="5" t="s">
        <v>12</v>
      </c>
      <c r="D18" s="7">
        <v>0</v>
      </c>
      <c r="E18" s="7">
        <v>0</v>
      </c>
      <c r="F18" s="7">
        <v>0</v>
      </c>
      <c r="G18" s="7"/>
    </row>
    <row r="19" spans="2:7" x14ac:dyDescent="0.25">
      <c r="B19" s="3" t="s">
        <v>13</v>
      </c>
      <c r="D19" s="8">
        <f>SUM(D12:D18)</f>
        <v>-1283000</v>
      </c>
      <c r="E19" s="8">
        <f t="shared" ref="E19:G19" si="1">SUM(E12:E18)</f>
        <v>-192150</v>
      </c>
      <c r="F19" s="8">
        <f t="shared" si="1"/>
        <v>-276400</v>
      </c>
      <c r="G19" s="8">
        <f t="shared" si="1"/>
        <v>-130500</v>
      </c>
    </row>
    <row r="20" spans="2:7" x14ac:dyDescent="0.25">
      <c r="B20" s="6" t="s">
        <v>14</v>
      </c>
      <c r="D20" s="8">
        <f>D10+D19</f>
        <v>1195000</v>
      </c>
      <c r="E20" s="8">
        <f t="shared" ref="E20:G20" si="2">E10+E19</f>
        <v>2850</v>
      </c>
      <c r="F20" s="8">
        <f t="shared" si="2"/>
        <v>203750</v>
      </c>
      <c r="G20" s="8">
        <f t="shared" si="2"/>
        <v>262850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38"/>
  <sheetViews>
    <sheetView showGridLines="0" zoomScale="90" zoomScaleNormal="90" workbookViewId="0">
      <selection activeCell="W38" sqref="W38"/>
    </sheetView>
  </sheetViews>
  <sheetFormatPr defaultRowHeight="15" x14ac:dyDescent="0.25"/>
  <cols>
    <col min="1" max="1" width="4.5703125" customWidth="1"/>
    <col min="2" max="2" width="41.85546875" bestFit="1" customWidth="1"/>
    <col min="3" max="3" width="3.85546875" customWidth="1"/>
    <col min="4" max="4" width="17.140625" customWidth="1"/>
  </cols>
  <sheetData>
    <row r="1" spans="2:4" ht="7.5" customHeight="1" x14ac:dyDescent="0.25"/>
    <row r="2" spans="2:4" ht="18.75" customHeight="1" x14ac:dyDescent="0.25">
      <c r="B2" s="1" t="str">
        <f ca="1">"Balance sheet as at: "&amp;TEXT(TODAY(),"dd-mmm-YYYY")</f>
        <v>Balance sheet as at: 18-Oct-2013</v>
      </c>
    </row>
    <row r="3" spans="2:4" ht="7.5" customHeight="1" x14ac:dyDescent="0.25">
      <c r="B3" s="1"/>
    </row>
    <row r="4" spans="2:4" x14ac:dyDescent="0.25">
      <c r="B4" s="43" t="s">
        <v>20</v>
      </c>
      <c r="C4" s="44"/>
      <c r="D4" s="2"/>
    </row>
    <row r="5" spans="2:4" x14ac:dyDescent="0.25">
      <c r="B5" s="2" t="s">
        <v>21</v>
      </c>
      <c r="C5" s="2"/>
      <c r="D5" s="7">
        <f>200000+105000</f>
        <v>305000</v>
      </c>
    </row>
    <row r="6" spans="2:4" x14ac:dyDescent="0.25">
      <c r="B6" s="2" t="s">
        <v>30</v>
      </c>
      <c r="C6" s="2"/>
      <c r="D6" s="7">
        <v>28400</v>
      </c>
    </row>
    <row r="7" spans="2:4" x14ac:dyDescent="0.25">
      <c r="B7" s="2" t="s">
        <v>29</v>
      </c>
      <c r="C7" s="2"/>
      <c r="D7" s="45">
        <v>30000</v>
      </c>
    </row>
    <row r="8" spans="2:4" x14ac:dyDescent="0.25">
      <c r="B8" s="10" t="s">
        <v>22</v>
      </c>
      <c r="C8" s="2"/>
      <c r="D8" s="8">
        <f>SUM(D5:D7)</f>
        <v>363400</v>
      </c>
    </row>
    <row r="9" spans="2:4" ht="7.5" customHeight="1" x14ac:dyDescent="0.25">
      <c r="B9" s="2"/>
      <c r="C9" s="2"/>
      <c r="D9" s="7"/>
    </row>
    <row r="10" spans="2:4" x14ac:dyDescent="0.25">
      <c r="B10" s="43" t="s">
        <v>23</v>
      </c>
      <c r="C10" s="2"/>
      <c r="D10" s="7"/>
    </row>
    <row r="11" spans="2:4" x14ac:dyDescent="0.25">
      <c r="B11" s="2" t="s">
        <v>64</v>
      </c>
      <c r="C11" s="2"/>
      <c r="D11" s="7">
        <f>2500+24100</f>
        <v>26600</v>
      </c>
    </row>
    <row r="12" spans="2:4" x14ac:dyDescent="0.25">
      <c r="B12" s="2" t="s">
        <v>24</v>
      </c>
      <c r="C12" s="2"/>
      <c r="D12" s="7">
        <v>95000</v>
      </c>
    </row>
    <row r="13" spans="2:4" x14ac:dyDescent="0.25">
      <c r="B13" s="2" t="s">
        <v>28</v>
      </c>
      <c r="C13" s="2"/>
      <c r="D13" s="7">
        <v>48300</v>
      </c>
    </row>
    <row r="14" spans="2:4" x14ac:dyDescent="0.25">
      <c r="B14" s="2" t="s">
        <v>27</v>
      </c>
      <c r="C14" s="2"/>
      <c r="D14" s="7">
        <v>16400</v>
      </c>
    </row>
    <row r="15" spans="2:4" x14ac:dyDescent="0.25">
      <c r="B15" s="2" t="s">
        <v>0</v>
      </c>
      <c r="C15" s="2"/>
      <c r="D15" s="45">
        <f>138500+17000</f>
        <v>155500</v>
      </c>
    </row>
    <row r="16" spans="2:4" x14ac:dyDescent="0.25">
      <c r="B16" s="2"/>
      <c r="C16" s="2"/>
      <c r="D16" s="8">
        <f>SUM(D11:D15)</f>
        <v>341800</v>
      </c>
    </row>
    <row r="17" spans="2:4" ht="6.75" customHeight="1" x14ac:dyDescent="0.25">
      <c r="B17" s="2"/>
      <c r="C17" s="44"/>
      <c r="D17" s="7"/>
    </row>
    <row r="18" spans="2:4" x14ac:dyDescent="0.25">
      <c r="B18" s="46" t="s">
        <v>32</v>
      </c>
      <c r="C18" s="47"/>
      <c r="D18" s="48">
        <f>D8+D16</f>
        <v>705200</v>
      </c>
    </row>
    <row r="19" spans="2:4" ht="6" customHeight="1" x14ac:dyDescent="0.25">
      <c r="B19" s="2"/>
      <c r="C19" s="44"/>
      <c r="D19" s="7"/>
    </row>
    <row r="20" spans="2:4" x14ac:dyDescent="0.25">
      <c r="B20" s="43" t="s">
        <v>25</v>
      </c>
      <c r="C20" s="44"/>
      <c r="D20" s="7"/>
    </row>
    <row r="21" spans="2:4" x14ac:dyDescent="0.25">
      <c r="B21" s="2" t="s">
        <v>26</v>
      </c>
      <c r="C21" s="44"/>
      <c r="D21" s="7">
        <v>-58400</v>
      </c>
    </row>
    <row r="22" spans="2:4" x14ac:dyDescent="0.25">
      <c r="B22" s="2" t="s">
        <v>73</v>
      </c>
      <c r="C22" s="44"/>
      <c r="D22" s="7">
        <f>-11500-2800</f>
        <v>-14300</v>
      </c>
    </row>
    <row r="23" spans="2:4" x14ac:dyDescent="0.25">
      <c r="B23" s="2" t="s">
        <v>74</v>
      </c>
      <c r="C23" s="44"/>
      <c r="D23" s="45">
        <v>-35000</v>
      </c>
    </row>
    <row r="24" spans="2:4" x14ac:dyDescent="0.25">
      <c r="B24" s="2"/>
      <c r="C24" s="44"/>
      <c r="D24" s="8">
        <f>SUM(D21:D23)</f>
        <v>-107700</v>
      </c>
    </row>
    <row r="25" spans="2:4" x14ac:dyDescent="0.25">
      <c r="B25" s="43" t="s">
        <v>63</v>
      </c>
      <c r="C25" s="44"/>
      <c r="D25" s="7"/>
    </row>
    <row r="26" spans="2:4" x14ac:dyDescent="0.25">
      <c r="B26" s="2" t="s">
        <v>75</v>
      </c>
      <c r="C26" s="44"/>
      <c r="D26" s="7">
        <v>-39300</v>
      </c>
    </row>
    <row r="27" spans="2:4" x14ac:dyDescent="0.25">
      <c r="B27" s="2" t="s">
        <v>33</v>
      </c>
      <c r="C27" s="44"/>
      <c r="D27" s="45">
        <v>-15000</v>
      </c>
    </row>
    <row r="28" spans="2:4" x14ac:dyDescent="0.25">
      <c r="B28" s="10" t="s">
        <v>76</v>
      </c>
      <c r="C28" s="2"/>
      <c r="D28" s="8">
        <f>SUM(D26:D27)</f>
        <v>-54300</v>
      </c>
    </row>
    <row r="29" spans="2:4" x14ac:dyDescent="0.25">
      <c r="B29" s="2"/>
      <c r="C29" s="2"/>
      <c r="D29" s="7"/>
    </row>
    <row r="30" spans="2:4" x14ac:dyDescent="0.25">
      <c r="B30" s="10" t="s">
        <v>35</v>
      </c>
      <c r="C30" s="2"/>
      <c r="D30" s="8">
        <f>D24+D28</f>
        <v>-162000</v>
      </c>
    </row>
    <row r="31" spans="2:4" ht="9.75" customHeight="1" x14ac:dyDescent="0.25">
      <c r="B31" s="2"/>
      <c r="C31" s="2"/>
      <c r="D31" s="7"/>
    </row>
    <row r="32" spans="2:4" x14ac:dyDescent="0.25">
      <c r="B32" s="43" t="s">
        <v>77</v>
      </c>
      <c r="C32" s="2"/>
      <c r="D32" s="2"/>
    </row>
    <row r="33" spans="2:6" x14ac:dyDescent="0.25">
      <c r="B33" s="2" t="s">
        <v>34</v>
      </c>
      <c r="C33" s="2"/>
      <c r="D33" s="7">
        <v>-200000</v>
      </c>
    </row>
    <row r="34" spans="2:6" x14ac:dyDescent="0.25">
      <c r="B34" s="2" t="s">
        <v>31</v>
      </c>
      <c r="C34" s="2"/>
      <c r="D34" s="45">
        <v>-343200</v>
      </c>
    </row>
    <row r="35" spans="2:6" x14ac:dyDescent="0.25">
      <c r="B35" s="2" t="s">
        <v>78</v>
      </c>
      <c r="C35" s="2"/>
      <c r="D35" s="8">
        <f>SUM(D33:D34)</f>
        <v>-543200</v>
      </c>
    </row>
    <row r="36" spans="2:6" ht="5.25" customHeight="1" x14ac:dyDescent="0.25">
      <c r="B36" s="2"/>
      <c r="C36" s="2"/>
      <c r="D36" s="2"/>
    </row>
    <row r="37" spans="2:6" x14ac:dyDescent="0.25">
      <c r="B37" s="46" t="s">
        <v>36</v>
      </c>
      <c r="C37" s="49"/>
      <c r="D37" s="48">
        <f>D35+D30</f>
        <v>-705200</v>
      </c>
    </row>
    <row r="38" spans="2:6" x14ac:dyDescent="0.25">
      <c r="F38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Figure 9.1a</vt:lpstr>
      <vt:lpstr>Figure 9.1b</vt:lpstr>
      <vt:lpstr>Figure 9-2</vt:lpstr>
      <vt:lpstr>Figure 9-3</vt:lpstr>
      <vt:lpstr>Figure 9-4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</dc:creator>
  <cp:lastModifiedBy>Jack</cp:lastModifiedBy>
  <dcterms:created xsi:type="dcterms:W3CDTF">2013-06-27T08:02:59Z</dcterms:created>
  <dcterms:modified xsi:type="dcterms:W3CDTF">2013-10-18T12:27:56Z</dcterms:modified>
</cp:coreProperties>
</file>