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375" windowWidth="7635" windowHeight="1380"/>
  </bookViews>
  <sheets>
    <sheet name="Figure 12-1" sheetId="26" r:id="rId1"/>
    <sheet name="Figure 12-2" sheetId="27" r:id="rId2"/>
    <sheet name="Figure 12-3" sheetId="28" r:id="rId3"/>
    <sheet name="Figure 12-4" sheetId="29" r:id="rId4"/>
    <sheet name="Figure 12-4a" sheetId="36" r:id="rId5"/>
    <sheet name="Figure 12-4b" sheetId="37" r:id="rId6"/>
    <sheet name="Figure 12-5" sheetId="34" r:id="rId7"/>
    <sheet name="Figure 12-6" sheetId="35" r:id="rId8"/>
    <sheet name="Figure 12-7" sheetId="32" r:id="rId9"/>
  </sheets>
  <definedNames>
    <definedName name="Calc_Mask" localSheetId="4">#REF!</definedName>
    <definedName name="Calc_Mask" localSheetId="5">#REF!</definedName>
    <definedName name="Calc_Mask">#REF!</definedName>
    <definedName name="_xlnm.Criteria" localSheetId="4">#REF!</definedName>
    <definedName name="_xlnm.Criteria" localSheetId="5">#REF!</definedName>
    <definedName name="_xlnm.Criteria">#REF!</definedName>
    <definedName name="Inp_DirectCosts" localSheetId="4">#REF!</definedName>
    <definedName name="Inp_DirectCosts" localSheetId="5">#REF!</definedName>
    <definedName name="Inp_DirectCosts">#REF!</definedName>
    <definedName name="Inp_Expenses" localSheetId="4">#REF!</definedName>
    <definedName name="Inp_Expenses" localSheetId="5">#REF!</definedName>
    <definedName name="Inp_Expenses">#REF!</definedName>
    <definedName name="Inp_Income" localSheetId="4">#REF!</definedName>
    <definedName name="Inp_Income" localSheetId="5">#REF!</definedName>
    <definedName name="Inp_Income">#REF!</definedName>
    <definedName name="Inp_Inflation" localSheetId="4">#REF!</definedName>
    <definedName name="Inp_Inflation" localSheetId="5">#REF!</definedName>
    <definedName name="Inp_Inflation">#REF!</definedName>
    <definedName name="Input_Income" localSheetId="4">#REF!</definedName>
    <definedName name="Input_Income" localSheetId="5">#REF!</definedName>
    <definedName name="Input_Income">#REF!</definedName>
    <definedName name="Input_SalesTax" localSheetId="4">#REF!</definedName>
    <definedName name="Input_SalesTax" localSheetId="5">#REF!</definedName>
    <definedName name="Input_SalesTax">#REF!</definedName>
    <definedName name="Life" localSheetId="4">#REF!</definedName>
    <definedName name="Life" localSheetId="5">#REF!</definedName>
    <definedName name="Life">#REF!</definedName>
  </definedNames>
  <calcPr calcId="144525"/>
</workbook>
</file>

<file path=xl/calcChain.xml><?xml version="1.0" encoding="utf-8"?>
<calcChain xmlns="http://schemas.openxmlformats.org/spreadsheetml/2006/main">
  <c r="C6" i="34" l="1"/>
  <c r="E6" i="34"/>
  <c r="F6" i="34"/>
  <c r="D6" i="34"/>
  <c r="I5" i="34"/>
  <c r="M5" i="34"/>
  <c r="D6" i="35"/>
  <c r="E6" i="35"/>
  <c r="F6" i="35"/>
  <c r="G6" i="35"/>
  <c r="H6" i="35"/>
  <c r="I6" i="35"/>
  <c r="J6" i="35"/>
  <c r="K6" i="35"/>
  <c r="L6" i="35"/>
  <c r="M6" i="35"/>
  <c r="N6" i="35"/>
  <c r="C6" i="35"/>
  <c r="D4" i="35"/>
  <c r="E4" i="35" s="1"/>
  <c r="C3" i="35"/>
  <c r="D2" i="35" s="1"/>
  <c r="D3" i="35" s="1"/>
  <c r="E2" i="35" s="1"/>
  <c r="E3" i="35" s="1"/>
  <c r="F2" i="35" s="1"/>
  <c r="F3" i="35" s="1"/>
  <c r="G2" i="35" s="1"/>
  <c r="G3" i="35" s="1"/>
  <c r="H2" i="35" s="1"/>
  <c r="H3" i="35" s="1"/>
  <c r="I2" i="35" s="1"/>
  <c r="I3" i="35" s="1"/>
  <c r="J2" i="35" s="1"/>
  <c r="J3" i="35" s="1"/>
  <c r="K2" i="35" s="1"/>
  <c r="K3" i="35" s="1"/>
  <c r="L2" i="35" s="1"/>
  <c r="L3" i="35" s="1"/>
  <c r="M2" i="35" s="1"/>
  <c r="M3" i="35" s="1"/>
  <c r="N2" i="35" s="1"/>
  <c r="N3" i="35" s="1"/>
  <c r="E4" i="34"/>
  <c r="F4" i="34" s="1"/>
  <c r="G4" i="34" s="1"/>
  <c r="H4" i="34" s="1"/>
  <c r="I4" i="34" s="1"/>
  <c r="J4" i="34" s="1"/>
  <c r="K4" i="34" s="1"/>
  <c r="L4" i="34" s="1"/>
  <c r="M4" i="34" s="1"/>
  <c r="N4" i="34" s="1"/>
  <c r="D3" i="34"/>
  <c r="E2" i="34" s="1"/>
  <c r="E3" i="34" s="1"/>
  <c r="F2" i="34" s="1"/>
  <c r="F3" i="34" s="1"/>
  <c r="G2" i="34" s="1"/>
  <c r="G3" i="34" s="1"/>
  <c r="H2" i="34" s="1"/>
  <c r="H3" i="34" s="1"/>
  <c r="I2" i="34" s="1"/>
  <c r="I3" i="34" s="1"/>
  <c r="J2" i="34" s="1"/>
  <c r="J3" i="34" s="1"/>
  <c r="K2" i="34" s="1"/>
  <c r="K3" i="34" s="1"/>
  <c r="L2" i="34" s="1"/>
  <c r="L3" i="34" s="1"/>
  <c r="M2" i="34" s="1"/>
  <c r="M3" i="34" s="1"/>
  <c r="N2" i="34" s="1"/>
  <c r="N3" i="34" s="1"/>
  <c r="O2" i="34" s="1"/>
  <c r="O3" i="34" s="1"/>
  <c r="D5" i="32"/>
  <c r="E5" i="32"/>
  <c r="F5" i="32"/>
  <c r="G5" i="32"/>
  <c r="H5" i="32"/>
  <c r="I5" i="32"/>
  <c r="J5" i="32"/>
  <c r="K5" i="32"/>
  <c r="L5" i="32"/>
  <c r="M5" i="32"/>
  <c r="N5" i="32"/>
  <c r="C5" i="32"/>
  <c r="M2" i="32"/>
  <c r="M3" i="32"/>
  <c r="N2" i="32" s="1"/>
  <c r="N3" i="32" s="1"/>
  <c r="M4" i="32"/>
  <c r="N4" i="32" s="1"/>
  <c r="E4" i="32"/>
  <c r="F4" i="32"/>
  <c r="G4" i="32" s="1"/>
  <c r="H4" i="32" s="1"/>
  <c r="I4" i="32" s="1"/>
  <c r="J4" i="32" s="1"/>
  <c r="K4" i="32" s="1"/>
  <c r="L4" i="32" s="1"/>
  <c r="D4" i="32"/>
  <c r="E2" i="32"/>
  <c r="E3" i="32"/>
  <c r="F2" i="32" s="1"/>
  <c r="F3" i="32" s="1"/>
  <c r="G2" i="32" s="1"/>
  <c r="G3" i="32" s="1"/>
  <c r="H2" i="32" s="1"/>
  <c r="H3" i="32" s="1"/>
  <c r="I2" i="32" s="1"/>
  <c r="I3" i="32" s="1"/>
  <c r="J2" i="32" s="1"/>
  <c r="J3" i="32" s="1"/>
  <c r="K2" i="32" s="1"/>
  <c r="K3" i="32" s="1"/>
  <c r="L2" i="32" s="1"/>
  <c r="L3" i="32" s="1"/>
  <c r="D3" i="32"/>
  <c r="D2" i="32"/>
  <c r="C3" i="32"/>
  <c r="N6" i="34" l="1"/>
  <c r="K5" i="34"/>
  <c r="K6" i="34" s="1"/>
  <c r="H6" i="34"/>
  <c r="N5" i="34"/>
  <c r="J5" i="34"/>
  <c r="J6" i="34" s="1"/>
  <c r="G5" i="34"/>
  <c r="G6" i="34" s="1"/>
  <c r="L5" i="34"/>
  <c r="L6" i="34" s="1"/>
  <c r="H5" i="34"/>
  <c r="M6" i="34"/>
  <c r="I6" i="34"/>
  <c r="F4" i="35"/>
  <c r="G28" i="29" a="1"/>
  <c r="G28" i="29" s="1"/>
  <c r="F28" i="29" a="1"/>
  <c r="F28" i="29"/>
  <c r="E28" i="29" a="1"/>
  <c r="E28" i="29" s="1"/>
  <c r="D28" i="29" a="1"/>
  <c r="D28" i="29"/>
  <c r="G27" i="29" a="1"/>
  <c r="G27" i="29" s="1"/>
  <c r="F27" i="29" a="1"/>
  <c r="F27" i="29"/>
  <c r="E27" i="29" a="1"/>
  <c r="E27" i="29" s="1"/>
  <c r="D27" i="29" a="1"/>
  <c r="D27" i="29"/>
  <c r="G26" i="29" a="1"/>
  <c r="G26" i="29" s="1"/>
  <c r="F26" i="29" a="1"/>
  <c r="F26" i="29"/>
  <c r="E26" i="29" a="1"/>
  <c r="E26" i="29" s="1"/>
  <c r="D26" i="29" a="1"/>
  <c r="D26" i="29"/>
  <c r="G25" i="29" a="1"/>
  <c r="G25" i="29" s="1"/>
  <c r="F25" i="29" a="1"/>
  <c r="F25" i="29"/>
  <c r="E25" i="29" a="1"/>
  <c r="E25" i="29" s="1"/>
  <c r="D25" i="29" a="1"/>
  <c r="D25" i="29"/>
  <c r="G24" i="29" a="1"/>
  <c r="G24" i="29" s="1"/>
  <c r="F24" i="29" a="1"/>
  <c r="F24" i="29"/>
  <c r="E24" i="29" a="1"/>
  <c r="E24" i="29" s="1"/>
  <c r="D24" i="29" a="1"/>
  <c r="D24" i="29"/>
  <c r="C25" i="29" a="1"/>
  <c r="C25" i="29" s="1"/>
  <c r="C26" i="29" a="1"/>
  <c r="C26" i="29"/>
  <c r="C27" i="29" a="1"/>
  <c r="C27" i="29" s="1"/>
  <c r="C28" i="29" a="1"/>
  <c r="C28" i="29"/>
  <c r="C24" i="29" a="1"/>
  <c r="C24" i="29" s="1"/>
  <c r="B28" i="29"/>
  <c r="B26" i="29"/>
  <c r="B27" i="29"/>
  <c r="B25" i="29"/>
  <c r="B24" i="29"/>
  <c r="C26" i="28"/>
  <c r="C28" i="28" s="1" a="1"/>
  <c r="C28" i="28" s="1"/>
  <c r="C15" i="27" a="1"/>
  <c r="C15" i="27" s="1"/>
  <c r="C14" i="27" a="1"/>
  <c r="C14" i="27" s="1"/>
  <c r="C13" i="27" a="1"/>
  <c r="C13" i="27" s="1"/>
  <c r="C5" i="26"/>
  <c r="D6" i="26" s="1"/>
  <c r="C7" i="26"/>
  <c r="D7" i="26" s="1"/>
  <c r="C8" i="26"/>
  <c r="C9" i="26"/>
  <c r="D9" i="26" s="1"/>
  <c r="C10" i="26"/>
  <c r="D10" i="26" s="1"/>
  <c r="C4" i="26"/>
  <c r="D5" i="26" s="1"/>
  <c r="G4" i="35" l="1"/>
  <c r="D8" i="26"/>
  <c r="D4" i="26"/>
  <c r="H4" i="35" l="1"/>
  <c r="D12" i="26" a="1"/>
  <c r="D12" i="26" s="1"/>
  <c r="I4" i="35" l="1"/>
  <c r="J4" i="35" l="1"/>
  <c r="K4" i="35" l="1"/>
  <c r="L4" i="35" l="1"/>
  <c r="M4" i="35" l="1"/>
  <c r="O4" i="34"/>
  <c r="O5" i="34" l="1"/>
  <c r="O6" i="34" s="1"/>
  <c r="N4" i="35"/>
</calcChain>
</file>

<file path=xl/sharedStrings.xml><?xml version="1.0" encoding="utf-8"?>
<sst xmlns="http://schemas.openxmlformats.org/spreadsheetml/2006/main" count="122" uniqueCount="88">
  <si>
    <t>NonSuch Financial Model</t>
  </si>
  <si>
    <t>Input Links</t>
  </si>
  <si>
    <t>END</t>
  </si>
  <si>
    <t>Direct cost</t>
  </si>
  <si>
    <t>Randy</t>
  </si>
  <si>
    <t>Employee</t>
  </si>
  <si>
    <t>Susan</t>
  </si>
  <si>
    <t>Chris</t>
  </si>
  <si>
    <t>Jamie</t>
  </si>
  <si>
    <t>Anil</t>
  </si>
  <si>
    <t>Yasmin</t>
  </si>
  <si>
    <t>Vladimir</t>
  </si>
  <si>
    <t>Jason</t>
  </si>
  <si>
    <t>Coreen</t>
  </si>
  <si>
    <t>Age</t>
  </si>
  <si>
    <t>Purchased Units</t>
  </si>
  <si>
    <t>Average Cost per Unit</t>
  </si>
  <si>
    <t>twenty</t>
  </si>
  <si>
    <t>Is greater than 30 but less than 40</t>
  </si>
  <si>
    <t>Is greater than and or equal to 50 but less than 50</t>
  </si>
  <si>
    <t>Is greater than 50 or equal to</t>
  </si>
  <si>
    <t>Target Value:</t>
  </si>
  <si>
    <t>Closest Match:</t>
  </si>
  <si>
    <t>Closest match to:</t>
  </si>
  <si>
    <t>Input</t>
  </si>
  <si>
    <t>Enter Target Age</t>
  </si>
  <si>
    <t>Data Set</t>
  </si>
  <si>
    <t>Calculation</t>
  </si>
  <si>
    <t>Age Calculation</t>
  </si>
  <si>
    <t>Date</t>
  </si>
  <si>
    <t>Category</t>
  </si>
  <si>
    <t>Amount</t>
  </si>
  <si>
    <t>Lodging</t>
  </si>
  <si>
    <t>Revenue</t>
  </si>
  <si>
    <t>Expense</t>
  </si>
  <si>
    <t>Taxation</t>
  </si>
  <si>
    <t>Date from</t>
  </si>
  <si>
    <t>Date To</t>
  </si>
  <si>
    <t>Period</t>
  </si>
  <si>
    <t>Month In Year</t>
  </si>
  <si>
    <t>Negative responses</t>
  </si>
  <si>
    <t>Total responses</t>
  </si>
  <si>
    <t>Cash flow</t>
  </si>
  <si>
    <t>Working Capital</t>
  </si>
  <si>
    <t>Check</t>
  </si>
  <si>
    <t>Positive responses</t>
  </si>
  <si>
    <t>SUMIF()</t>
  </si>
  <si>
    <t>SUMIFS()</t>
  </si>
  <si>
    <t>SUMPRODUCT()</t>
  </si>
  <si>
    <t>SUM()</t>
  </si>
  <si>
    <t>SUBTOTAL()</t>
  </si>
  <si>
    <t>AVERAGE()</t>
  </si>
  <si>
    <t>AVERAGEIF()</t>
  </si>
  <si>
    <t>Cells that count ranges</t>
  </si>
  <si>
    <t>COUNT()</t>
  </si>
  <si>
    <t>COUNTA()</t>
  </si>
  <si>
    <t>COUNTIF()</t>
  </si>
  <si>
    <t>Gives the total for a range cell with one condition</t>
  </si>
  <si>
    <t>Gives the total for a range of cells with more than one condition</t>
  </si>
  <si>
    <t>Function Number</t>
  </si>
  <si>
    <t>COUNT</t>
  </si>
  <si>
    <t>COUNTA</t>
  </si>
  <si>
    <t>AVERAGE</t>
  </si>
  <si>
    <t>MAX</t>
  </si>
  <si>
    <t>MIN</t>
  </si>
  <si>
    <t>PRODUCT</t>
  </si>
  <si>
    <t>STDEV</t>
  </si>
  <si>
    <t>STDEVP</t>
  </si>
  <si>
    <t>SUM</t>
  </si>
  <si>
    <t>VAR</t>
  </si>
  <si>
    <t>VARP</t>
  </si>
  <si>
    <t>+</t>
  </si>
  <si>
    <t>-</t>
  </si>
  <si>
    <t>/</t>
  </si>
  <si>
    <t>*</t>
  </si>
  <si>
    <t>Cells that sum totals</t>
  </si>
  <si>
    <t>Multiplies the elements of one or more arrays</t>
  </si>
  <si>
    <t>Gives the total for a range of cells an the sums or adds the products together.</t>
  </si>
  <si>
    <t>Counts the cells in range that contain numbers only.</t>
  </si>
  <si>
    <t>Counts the cells in range that contain data.</t>
  </si>
  <si>
    <t>Counts the cells in range that fulfil  given condition</t>
  </si>
  <si>
    <t>Arithmetic</t>
  </si>
  <si>
    <t>Gives the sub total of a range of cells using anyone of the eleven pre-set calculations.</t>
  </si>
  <si>
    <t>Pre-set calculations</t>
  </si>
  <si>
    <t>Gives the arithmetic mean for a set of numbers in a range of cells.</t>
  </si>
  <si>
    <t>Gives the arithmetic mean for a set of numbers in a range of cells that match a given condition.</t>
  </si>
  <si>
    <t>Unit Cost</t>
  </si>
  <si>
    <t>Average Cost of Units (Ignore Errors)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</si>
</sst>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;[Red]\(#,##0\);&quot; - &quot;"/>
    <numFmt numFmtId="165" formatCode="_(* #,##0.00_);_(* \(#,##0.00\);_(* &quot;-&quot;??_);_(@_)"/>
    <numFmt numFmtId="166" formatCode="0.000"/>
    <numFmt numFmtId="167" formatCode="dd\-m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Helv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 tint="0.34998626667073579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1" tint="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</borders>
  <cellStyleXfs count="5">
    <xf numFmtId="0" fontId="0" fillId="0" borderId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</cellStyleXfs>
  <cellXfs count="52">
    <xf numFmtId="0" fontId="0" fillId="0" borderId="0" xfId="0"/>
    <xf numFmtId="0" fontId="3" fillId="3" borderId="0" xfId="0" applyFont="1" applyFill="1"/>
    <xf numFmtId="0" fontId="4" fillId="8" borderId="3" xfId="0" applyFont="1" applyFill="1" applyBorder="1" applyAlignment="1">
      <alignment horizontal="center"/>
    </xf>
    <xf numFmtId="0" fontId="0" fillId="0" borderId="1" xfId="0" applyBorder="1"/>
    <xf numFmtId="0" fontId="0" fillId="0" borderId="0" xfId="0" applyFont="1"/>
    <xf numFmtId="0" fontId="0" fillId="9" borderId="1" xfId="0" applyFont="1" applyFill="1" applyBorder="1" applyAlignment="1">
      <alignment horizontal="center"/>
    </xf>
    <xf numFmtId="0" fontId="3" fillId="4" borderId="0" xfId="0" applyFont="1" applyFill="1"/>
    <xf numFmtId="0" fontId="1" fillId="0" borderId="0" xfId="0" applyFont="1"/>
    <xf numFmtId="0" fontId="5" fillId="0" borderId="0" xfId="1" applyFont="1"/>
    <xf numFmtId="0" fontId="4" fillId="0" borderId="0" xfId="0" applyFont="1"/>
    <xf numFmtId="2" fontId="1" fillId="0" borderId="0" xfId="0" applyNumberFormat="1" applyFont="1"/>
    <xf numFmtId="166" fontId="1" fillId="0" borderId="0" xfId="0" applyNumberFormat="1" applyFont="1"/>
    <xf numFmtId="2" fontId="0" fillId="0" borderId="1" xfId="0" applyNumberFormat="1" applyBorder="1"/>
    <xf numFmtId="0" fontId="4" fillId="6" borderId="5" xfId="0" applyFont="1" applyFill="1" applyBorder="1" applyAlignment="1">
      <alignment horizontal="center" wrapText="1"/>
    </xf>
    <xf numFmtId="166" fontId="1" fillId="5" borderId="0" xfId="0" applyNumberFormat="1" applyFont="1" applyFill="1"/>
    <xf numFmtId="0" fontId="0" fillId="5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4" fillId="0" borderId="0" xfId="0" applyFont="1" applyBorder="1"/>
    <xf numFmtId="0" fontId="3" fillId="7" borderId="0" xfId="0" applyFont="1" applyFill="1"/>
    <xf numFmtId="0" fontId="5" fillId="0" borderId="0" xfId="4" applyFont="1"/>
    <xf numFmtId="0" fontId="4" fillId="0" borderId="1" xfId="4" applyFont="1" applyFill="1" applyBorder="1" applyAlignment="1">
      <alignment horizontal="center"/>
    </xf>
    <xf numFmtId="16" fontId="4" fillId="0" borderId="6" xfId="4" applyNumberFormat="1" applyFont="1" applyFill="1" applyBorder="1"/>
    <xf numFmtId="164" fontId="5" fillId="2" borderId="1" xfId="4" applyNumberFormat="1" applyFont="1" applyFill="1" applyBorder="1"/>
    <xf numFmtId="164" fontId="5" fillId="9" borderId="4" xfId="4" applyNumberFormat="1" applyFont="1" applyFill="1" applyBorder="1"/>
    <xf numFmtId="14" fontId="5" fillId="9" borderId="2" xfId="4" applyNumberFormat="1" applyFont="1" applyFill="1" applyBorder="1" applyAlignment="1">
      <alignment horizontal="left"/>
    </xf>
    <xf numFmtId="0" fontId="5" fillId="9" borderId="2" xfId="4" applyFont="1" applyFill="1" applyBorder="1"/>
    <xf numFmtId="167" fontId="0" fillId="5" borderId="2" xfId="0" applyNumberFormat="1" applyFill="1" applyBorder="1"/>
    <xf numFmtId="0" fontId="1" fillId="0" borderId="6" xfId="0" applyFont="1" applyBorder="1"/>
    <xf numFmtId="1" fontId="0" fillId="9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1" fillId="0" borderId="0" xfId="0" applyFont="1" applyFill="1" applyBorder="1"/>
    <xf numFmtId="164" fontId="0" fillId="5" borderId="2" xfId="0" applyNumberForma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0" fillId="0" borderId="0" xfId="0" applyNumberFormat="1"/>
    <xf numFmtId="164" fontId="0" fillId="0" borderId="2" xfId="0" applyNumberForma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" fillId="0" borderId="7" xfId="0" applyFont="1" applyBorder="1"/>
    <xf numFmtId="0" fontId="1" fillId="0" borderId="1" xfId="0" applyFont="1" applyBorder="1"/>
    <xf numFmtId="0" fontId="1" fillId="0" borderId="8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7" fillId="0" borderId="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11" xfId="0" applyFont="1" applyBorder="1"/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9" fillId="0" borderId="0" xfId="0" applyFont="1"/>
    <xf numFmtId="0" fontId="9" fillId="0" borderId="12" xfId="0" applyFont="1" applyBorder="1" applyAlignment="1">
      <alignment wrapText="1"/>
    </xf>
    <xf numFmtId="0" fontId="9" fillId="0" borderId="13" xfId="0" applyFont="1" applyBorder="1" applyAlignment="1">
      <alignment wrapText="1"/>
    </xf>
    <xf numFmtId="0" fontId="9" fillId="0" borderId="4" xfId="0" applyFont="1" applyBorder="1" applyAlignment="1">
      <alignment wrapText="1"/>
    </xf>
  </cellXfs>
  <cellStyles count="5">
    <cellStyle name="Comma 2" xfId="2"/>
    <cellStyle name="Normal" xfId="0" builtinId="0"/>
    <cellStyle name="Normal 2" xfId="1"/>
    <cellStyle name="Normal_TAB1" xfId="4"/>
    <cellStyle name="Percent 2" xf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3"/>
  <sheetViews>
    <sheetView showGridLines="0" tabSelected="1" workbookViewId="0">
      <selection activeCell="B13" sqref="B13"/>
    </sheetView>
  </sheetViews>
  <sheetFormatPr defaultRowHeight="15" x14ac:dyDescent="0.25"/>
  <cols>
    <col min="1" max="1" width="4.140625" customWidth="1"/>
    <col min="2" max="2" width="15.42578125" bestFit="1" customWidth="1"/>
    <col min="3" max="3" width="22" customWidth="1"/>
    <col min="4" max="4" width="16.5703125" customWidth="1"/>
  </cols>
  <sheetData>
    <row r="3" spans="2:4" ht="30" x14ac:dyDescent="0.25">
      <c r="B3" s="13" t="s">
        <v>15</v>
      </c>
      <c r="C3" s="13" t="s">
        <v>86</v>
      </c>
      <c r="D3" s="13" t="s">
        <v>16</v>
      </c>
    </row>
    <row r="4" spans="2:4" x14ac:dyDescent="0.25">
      <c r="B4" s="3">
        <v>200</v>
      </c>
      <c r="C4" s="12">
        <f>B4/10</f>
        <v>20</v>
      </c>
      <c r="D4" s="12">
        <f>AVERAGE($C$4:C4)</f>
        <v>20</v>
      </c>
    </row>
    <row r="5" spans="2:4" x14ac:dyDescent="0.25">
      <c r="B5" s="3">
        <v>350</v>
      </c>
      <c r="C5" s="12">
        <f t="shared" ref="C5:C10" si="0">B5/10</f>
        <v>35</v>
      </c>
      <c r="D5" s="12">
        <f>(C4+C5)/2</f>
        <v>27.5</v>
      </c>
    </row>
    <row r="6" spans="2:4" x14ac:dyDescent="0.25">
      <c r="B6" s="3">
        <v>280</v>
      </c>
      <c r="C6" s="12" t="s">
        <v>17</v>
      </c>
      <c r="D6" s="12" t="e">
        <f t="shared" ref="D6:D10" si="1">(C5+C6)/2</f>
        <v>#VALUE!</v>
      </c>
    </row>
    <row r="7" spans="2:4" x14ac:dyDescent="0.25">
      <c r="B7" s="3">
        <v>230</v>
      </c>
      <c r="C7" s="12">
        <f t="shared" si="0"/>
        <v>23</v>
      </c>
      <c r="D7" s="12" t="e">
        <f t="shared" si="1"/>
        <v>#VALUE!</v>
      </c>
    </row>
    <row r="8" spans="2:4" x14ac:dyDescent="0.25">
      <c r="B8" s="3">
        <v>60</v>
      </c>
      <c r="C8" s="12">
        <f t="shared" si="0"/>
        <v>6</v>
      </c>
      <c r="D8" s="12">
        <f t="shared" si="1"/>
        <v>14.5</v>
      </c>
    </row>
    <row r="9" spans="2:4" x14ac:dyDescent="0.25">
      <c r="B9" s="3">
        <v>390</v>
      </c>
      <c r="C9" s="12">
        <f t="shared" si="0"/>
        <v>39</v>
      </c>
      <c r="D9" s="12">
        <f t="shared" si="1"/>
        <v>22.5</v>
      </c>
    </row>
    <row r="10" spans="2:4" x14ac:dyDescent="0.25">
      <c r="B10" s="3">
        <v>340</v>
      </c>
      <c r="C10" s="12">
        <f t="shared" si="0"/>
        <v>34</v>
      </c>
      <c r="D10" s="12">
        <f t="shared" si="1"/>
        <v>36.5</v>
      </c>
    </row>
    <row r="11" spans="2:4" x14ac:dyDescent="0.25">
      <c r="C11" s="7"/>
      <c r="D11" s="10"/>
    </row>
    <row r="12" spans="2:4" x14ac:dyDescent="0.25">
      <c r="B12" t="s">
        <v>87</v>
      </c>
      <c r="D12" s="14">
        <f t="array" ref="D12">AVERAGE(IF(ISERROR(D4:D10),"",D4:D10))</f>
        <v>24.2</v>
      </c>
    </row>
    <row r="13" spans="2:4" x14ac:dyDescent="0.25">
      <c r="D13" s="11"/>
    </row>
  </sheetData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5"/>
  <sheetViews>
    <sheetView showGridLines="0" workbookViewId="0">
      <selection activeCell="B11" sqref="A1:XFD1048576"/>
    </sheetView>
  </sheetViews>
  <sheetFormatPr defaultRowHeight="15" x14ac:dyDescent="0.25"/>
  <sheetData>
    <row r="1" spans="2:5" x14ac:dyDescent="0.25">
      <c r="C1" s="9"/>
    </row>
    <row r="2" spans="2:5" x14ac:dyDescent="0.25">
      <c r="B2" s="2" t="s">
        <v>5</v>
      </c>
      <c r="C2" s="2" t="s">
        <v>14</v>
      </c>
    </row>
    <row r="3" spans="2:5" x14ac:dyDescent="0.25">
      <c r="B3" s="5" t="s">
        <v>6</v>
      </c>
      <c r="C3" s="5">
        <v>28</v>
      </c>
    </row>
    <row r="4" spans="2:5" x14ac:dyDescent="0.25">
      <c r="B4" s="5" t="s">
        <v>7</v>
      </c>
      <c r="C4" s="5">
        <v>34</v>
      </c>
    </row>
    <row r="5" spans="2:5" x14ac:dyDescent="0.25">
      <c r="B5" s="5" t="s">
        <v>8</v>
      </c>
      <c r="C5" s="5">
        <v>56</v>
      </c>
    </row>
    <row r="6" spans="2:5" x14ac:dyDescent="0.25">
      <c r="B6" s="5" t="s">
        <v>4</v>
      </c>
      <c r="C6" s="5">
        <v>43</v>
      </c>
    </row>
    <row r="7" spans="2:5" x14ac:dyDescent="0.25">
      <c r="B7" s="5" t="s">
        <v>9</v>
      </c>
      <c r="C7" s="5">
        <v>41</v>
      </c>
    </row>
    <row r="8" spans="2:5" x14ac:dyDescent="0.25">
      <c r="B8" s="5" t="s">
        <v>10</v>
      </c>
      <c r="C8" s="5">
        <v>27</v>
      </c>
    </row>
    <row r="9" spans="2:5" x14ac:dyDescent="0.25">
      <c r="B9" s="5" t="s">
        <v>11</v>
      </c>
      <c r="C9" s="5">
        <v>25</v>
      </c>
    </row>
    <row r="10" spans="2:5" x14ac:dyDescent="0.25">
      <c r="B10" s="5" t="s">
        <v>12</v>
      </c>
      <c r="C10" s="5">
        <v>31</v>
      </c>
    </row>
    <row r="11" spans="2:5" x14ac:dyDescent="0.25">
      <c r="B11" s="5" t="s">
        <v>13</v>
      </c>
      <c r="C11" s="5">
        <v>40</v>
      </c>
    </row>
    <row r="13" spans="2:5" x14ac:dyDescent="0.25">
      <c r="C13" s="15">
        <f t="array" ref="C13">COUNT(IF(C3:C11&gt;30,IF(C3:C11&lt;40,C3:C11)))</f>
        <v>2</v>
      </c>
      <c r="E13" t="s">
        <v>18</v>
      </c>
    </row>
    <row r="14" spans="2:5" x14ac:dyDescent="0.25">
      <c r="C14" s="15">
        <f t="array" ref="C14">COUNT(IF(C3:C11&gt;=40,IF(C3:C11&lt;50,C3:C11)))</f>
        <v>3</v>
      </c>
      <c r="E14" t="s">
        <v>19</v>
      </c>
    </row>
    <row r="15" spans="2:5" x14ac:dyDescent="0.25">
      <c r="C15" s="15">
        <f t="array" ref="C15">COUNT(IF(C3:C11&gt;=50,C3:C11))</f>
        <v>1</v>
      </c>
      <c r="E15" t="s">
        <v>20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showGridLines="0" zoomScale="90" zoomScaleNormal="90" workbookViewId="0">
      <selection activeCell="A21" sqref="A1:XFD1048576"/>
    </sheetView>
  </sheetViews>
  <sheetFormatPr defaultColWidth="0" defaultRowHeight="15" zeroHeight="1" x14ac:dyDescent="0.25"/>
  <cols>
    <col min="1" max="1" width="9.140625" customWidth="1"/>
    <col min="2" max="2" width="16.5703125" customWidth="1"/>
    <col min="3" max="3" width="9.140625" customWidth="1"/>
    <col min="4" max="4" width="6.42578125" customWidth="1"/>
    <col min="5" max="5" width="14.42578125" customWidth="1"/>
    <col min="6" max="12" width="5.28515625" customWidth="1"/>
    <col min="13" max="14" width="9.140625" customWidth="1"/>
    <col min="15" max="15" width="0" hidden="1" customWidth="1"/>
    <col min="16" max="16384" width="9.140625" hidden="1"/>
  </cols>
  <sheetData>
    <row r="1" spans="1:5" x14ac:dyDescent="0.25">
      <c r="A1" s="6" t="s">
        <v>0</v>
      </c>
      <c r="B1" s="6"/>
      <c r="C1" s="6"/>
      <c r="D1" s="6"/>
      <c r="E1" s="6"/>
    </row>
    <row r="2" spans="1:5" x14ac:dyDescent="0.25">
      <c r="A2" s="7" t="s">
        <v>24</v>
      </c>
      <c r="B2" s="8"/>
      <c r="C2" s="4"/>
      <c r="D2" s="4"/>
      <c r="E2" s="4"/>
    </row>
    <row r="3" spans="1:5" x14ac:dyDescent="0.25">
      <c r="A3" s="7"/>
      <c r="B3" s="8"/>
      <c r="C3" s="4"/>
      <c r="D3" s="4"/>
      <c r="E3" s="4"/>
    </row>
    <row r="4" spans="1:5" x14ac:dyDescent="0.25">
      <c r="A4" s="1"/>
      <c r="B4" s="1" t="s">
        <v>25</v>
      </c>
      <c r="C4" s="1"/>
      <c r="D4" s="1"/>
      <c r="E4" s="1"/>
    </row>
    <row r="5" spans="1:5" x14ac:dyDescent="0.25">
      <c r="C5" s="4"/>
      <c r="D5" s="16" t="s">
        <v>14</v>
      </c>
      <c r="E5" s="4"/>
    </row>
    <row r="6" spans="1:5" x14ac:dyDescent="0.25">
      <c r="B6" t="s">
        <v>23</v>
      </c>
      <c r="C6" s="4"/>
      <c r="D6" s="5">
        <v>50</v>
      </c>
      <c r="E6" s="4"/>
    </row>
    <row r="7" spans="1:5" x14ac:dyDescent="0.25">
      <c r="A7" s="1"/>
      <c r="B7" s="1" t="s">
        <v>26</v>
      </c>
      <c r="C7" s="1"/>
      <c r="D7" s="1"/>
      <c r="E7" s="1"/>
    </row>
    <row r="8" spans="1:5" x14ac:dyDescent="0.25">
      <c r="C8" s="4"/>
      <c r="D8" s="4"/>
      <c r="E8" s="4"/>
    </row>
    <row r="9" spans="1:5" x14ac:dyDescent="0.25">
      <c r="B9" s="2" t="s">
        <v>5</v>
      </c>
      <c r="C9" s="2" t="s">
        <v>14</v>
      </c>
      <c r="D9" s="4"/>
      <c r="E9" s="4"/>
    </row>
    <row r="10" spans="1:5" x14ac:dyDescent="0.25">
      <c r="B10" s="5" t="s">
        <v>6</v>
      </c>
      <c r="C10" s="5">
        <v>28</v>
      </c>
      <c r="D10" s="4"/>
    </row>
    <row r="11" spans="1:5" x14ac:dyDescent="0.25">
      <c r="B11" s="5" t="s">
        <v>7</v>
      </c>
      <c r="C11" s="5">
        <v>34</v>
      </c>
      <c r="D11" s="4"/>
    </row>
    <row r="12" spans="1:5" x14ac:dyDescent="0.25">
      <c r="B12" s="5" t="s">
        <v>8</v>
      </c>
      <c r="C12" s="5">
        <v>56</v>
      </c>
      <c r="D12" s="4"/>
      <c r="E12" s="4"/>
    </row>
    <row r="13" spans="1:5" x14ac:dyDescent="0.25">
      <c r="B13" s="5" t="s">
        <v>4</v>
      </c>
      <c r="C13" s="5">
        <v>43</v>
      </c>
      <c r="D13" s="4"/>
      <c r="E13" s="4"/>
    </row>
    <row r="14" spans="1:5" x14ac:dyDescent="0.25">
      <c r="B14" s="5" t="s">
        <v>9</v>
      </c>
      <c r="C14" s="5">
        <v>41</v>
      </c>
      <c r="D14" s="4"/>
      <c r="E14" s="4"/>
    </row>
    <row r="15" spans="1:5" x14ac:dyDescent="0.25">
      <c r="B15" s="5" t="s">
        <v>10</v>
      </c>
      <c r="C15" s="5">
        <v>27</v>
      </c>
      <c r="D15" s="4"/>
      <c r="E15" s="4"/>
    </row>
    <row r="16" spans="1:5" x14ac:dyDescent="0.25">
      <c r="B16" s="5" t="s">
        <v>11</v>
      </c>
      <c r="C16" s="5">
        <v>25</v>
      </c>
      <c r="D16" s="4"/>
      <c r="E16" s="4"/>
    </row>
    <row r="17" spans="1:5" x14ac:dyDescent="0.25">
      <c r="B17" s="5" t="s">
        <v>12</v>
      </c>
      <c r="C17" s="5">
        <v>31</v>
      </c>
      <c r="D17" s="4"/>
      <c r="E17" s="4"/>
    </row>
    <row r="18" spans="1:5" x14ac:dyDescent="0.25">
      <c r="B18" s="5" t="s">
        <v>13</v>
      </c>
      <c r="C18" s="5">
        <v>40</v>
      </c>
      <c r="D18" s="4"/>
      <c r="E18" s="4"/>
    </row>
    <row r="19" spans="1:5" x14ac:dyDescent="0.25"/>
    <row r="20" spans="1:5" x14ac:dyDescent="0.25"/>
    <row r="21" spans="1:5" x14ac:dyDescent="0.25">
      <c r="A21" s="6" t="s">
        <v>0</v>
      </c>
      <c r="B21" s="6"/>
      <c r="C21" s="6"/>
      <c r="D21" s="6"/>
      <c r="E21" s="6"/>
    </row>
    <row r="22" spans="1:5" x14ac:dyDescent="0.25">
      <c r="A22" s="7" t="s">
        <v>27</v>
      </c>
      <c r="B22" s="8"/>
      <c r="C22" s="4"/>
      <c r="D22" s="4"/>
      <c r="E22" s="4"/>
    </row>
    <row r="23" spans="1:5" x14ac:dyDescent="0.25"/>
    <row r="24" spans="1:5" x14ac:dyDescent="0.25"/>
    <row r="25" spans="1:5" x14ac:dyDescent="0.25">
      <c r="A25" s="1"/>
      <c r="B25" s="1" t="s">
        <v>1</v>
      </c>
      <c r="C25" s="1"/>
      <c r="D25" s="1"/>
      <c r="E25" s="1"/>
    </row>
    <row r="26" spans="1:5" x14ac:dyDescent="0.25">
      <c r="B26" s="18" t="s">
        <v>21</v>
      </c>
      <c r="C26" s="17">
        <f>D6</f>
        <v>50</v>
      </c>
    </row>
    <row r="27" spans="1:5" x14ac:dyDescent="0.25">
      <c r="A27" s="1"/>
      <c r="B27" s="1" t="s">
        <v>28</v>
      </c>
      <c r="C27" s="1"/>
      <c r="D27" s="1"/>
      <c r="E27" s="1"/>
    </row>
    <row r="28" spans="1:5" x14ac:dyDescent="0.25">
      <c r="B28" s="18" t="s">
        <v>22</v>
      </c>
      <c r="C28" s="17">
        <f t="array" ref="C28">INDEX(C10:C18,MATCH(SMALL(ABS(C26-C10:C18),1),ABS(C26-C10:C18),0))</f>
        <v>56</v>
      </c>
    </row>
    <row r="29" spans="1:5" x14ac:dyDescent="0.25"/>
    <row r="30" spans="1:5" x14ac:dyDescent="0.25">
      <c r="A30" s="19"/>
      <c r="B30" s="19" t="s">
        <v>2</v>
      </c>
      <c r="C30" s="19"/>
      <c r="D30" s="19"/>
      <c r="E30" s="19"/>
    </row>
    <row r="31" spans="1:5" x14ac:dyDescent="0.25"/>
    <row r="32" spans="1:5" x14ac:dyDescent="0.25"/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28"/>
  <sheetViews>
    <sheetView showGridLines="0" zoomScale="90" zoomScaleNormal="90" workbookViewId="0">
      <selection activeCell="B3" sqref="B3:D20"/>
    </sheetView>
  </sheetViews>
  <sheetFormatPr defaultRowHeight="15" x14ac:dyDescent="0.25"/>
  <cols>
    <col min="2" max="2" width="13.42578125" customWidth="1"/>
    <col min="3" max="4" width="11.42578125" customWidth="1"/>
    <col min="5" max="5" width="13" customWidth="1"/>
  </cols>
  <sheetData>
    <row r="1" spans="2:9" x14ac:dyDescent="0.25">
      <c r="B1" s="9"/>
      <c r="C1" s="4"/>
      <c r="D1" s="4"/>
      <c r="E1" s="4"/>
      <c r="F1" s="4"/>
      <c r="G1" s="4"/>
      <c r="H1" s="4"/>
      <c r="I1" s="4"/>
    </row>
    <row r="2" spans="2:9" x14ac:dyDescent="0.25">
      <c r="B2" s="4"/>
      <c r="C2" s="4"/>
      <c r="D2" s="4"/>
      <c r="E2" s="4"/>
      <c r="F2" s="4"/>
      <c r="G2" s="4"/>
      <c r="H2" s="4"/>
      <c r="I2" s="4"/>
    </row>
    <row r="3" spans="2:9" x14ac:dyDescent="0.25">
      <c r="B3" s="21" t="s">
        <v>29</v>
      </c>
      <c r="C3" s="21" t="s">
        <v>30</v>
      </c>
      <c r="D3" s="21" t="s">
        <v>31</v>
      </c>
      <c r="E3" s="20"/>
      <c r="F3" s="20"/>
      <c r="G3" s="20"/>
      <c r="H3" s="20"/>
      <c r="I3" s="20"/>
    </row>
    <row r="4" spans="2:9" x14ac:dyDescent="0.25">
      <c r="B4" s="25">
        <v>41862</v>
      </c>
      <c r="C4" s="26" t="s">
        <v>34</v>
      </c>
      <c r="D4" s="24">
        <v>23500</v>
      </c>
      <c r="E4" s="20"/>
    </row>
    <row r="5" spans="2:9" x14ac:dyDescent="0.25">
      <c r="B5" s="25">
        <v>41862</v>
      </c>
      <c r="C5" s="26" t="s">
        <v>34</v>
      </c>
      <c r="D5" s="24">
        <v>15000</v>
      </c>
      <c r="E5" s="20"/>
    </row>
    <row r="6" spans="2:9" x14ac:dyDescent="0.25">
      <c r="B6" s="25">
        <v>41862</v>
      </c>
      <c r="C6" s="26" t="s">
        <v>34</v>
      </c>
      <c r="D6" s="24">
        <v>9120</v>
      </c>
      <c r="E6" s="20"/>
    </row>
    <row r="7" spans="2:9" x14ac:dyDescent="0.25">
      <c r="B7" s="25">
        <v>41862</v>
      </c>
      <c r="C7" s="26" t="s">
        <v>33</v>
      </c>
      <c r="D7" s="24">
        <v>16950</v>
      </c>
      <c r="E7" s="20"/>
    </row>
    <row r="8" spans="2:9" x14ac:dyDescent="0.25">
      <c r="B8" s="25">
        <v>41862</v>
      </c>
      <c r="C8" s="26" t="s">
        <v>3</v>
      </c>
      <c r="D8" s="24">
        <v>145500</v>
      </c>
      <c r="E8" s="20"/>
    </row>
    <row r="9" spans="2:9" x14ac:dyDescent="0.25">
      <c r="B9" s="25">
        <v>41686</v>
      </c>
      <c r="C9" s="26" t="s">
        <v>33</v>
      </c>
      <c r="D9" s="24">
        <v>65950</v>
      </c>
      <c r="E9" s="20"/>
      <c r="F9" s="20"/>
      <c r="G9" s="20"/>
      <c r="H9" s="20"/>
      <c r="I9" s="20"/>
    </row>
    <row r="10" spans="2:9" x14ac:dyDescent="0.25">
      <c r="B10" s="25">
        <v>41686</v>
      </c>
      <c r="C10" s="26" t="s">
        <v>33</v>
      </c>
      <c r="D10" s="24">
        <v>20000</v>
      </c>
      <c r="E10" s="20"/>
      <c r="F10" s="20"/>
      <c r="G10" s="20"/>
      <c r="H10" s="20"/>
      <c r="I10" s="20"/>
    </row>
    <row r="11" spans="2:9" x14ac:dyDescent="0.25">
      <c r="B11" s="25">
        <v>41686</v>
      </c>
      <c r="C11" s="26" t="s">
        <v>33</v>
      </c>
      <c r="D11" s="24">
        <v>7800</v>
      </c>
      <c r="E11" s="20"/>
      <c r="F11" s="4"/>
      <c r="G11" s="4"/>
      <c r="H11" s="4"/>
      <c r="I11" s="4"/>
    </row>
    <row r="12" spans="2:9" x14ac:dyDescent="0.25">
      <c r="B12" s="25">
        <v>41701</v>
      </c>
      <c r="C12" s="26" t="s">
        <v>33</v>
      </c>
      <c r="D12" s="24">
        <v>20000</v>
      </c>
      <c r="E12" s="20"/>
      <c r="F12" s="4"/>
      <c r="G12" s="4"/>
      <c r="H12" s="4"/>
      <c r="I12" s="4"/>
    </row>
    <row r="13" spans="2:9" x14ac:dyDescent="0.25">
      <c r="B13" s="25">
        <v>41701</v>
      </c>
      <c r="C13" s="26" t="s">
        <v>3</v>
      </c>
      <c r="D13" s="24">
        <v>89000</v>
      </c>
      <c r="E13" s="20"/>
      <c r="F13" s="4"/>
      <c r="G13" s="4"/>
      <c r="H13" s="4"/>
      <c r="I13" s="4"/>
    </row>
    <row r="14" spans="2:9" x14ac:dyDescent="0.25">
      <c r="B14" s="25">
        <v>41701</v>
      </c>
      <c r="C14" s="26" t="s">
        <v>3</v>
      </c>
      <c r="D14" s="24">
        <v>9000</v>
      </c>
      <c r="E14" s="20"/>
      <c r="F14" s="4"/>
      <c r="G14" s="4"/>
      <c r="H14" s="4"/>
      <c r="I14" s="4"/>
    </row>
    <row r="15" spans="2:9" x14ac:dyDescent="0.25">
      <c r="B15" s="25">
        <v>41701</v>
      </c>
      <c r="C15" s="26" t="s">
        <v>3</v>
      </c>
      <c r="D15" s="24">
        <v>3500</v>
      </c>
      <c r="E15" s="20"/>
      <c r="F15" s="4"/>
      <c r="G15" s="4"/>
      <c r="H15" s="4"/>
      <c r="I15" s="4"/>
    </row>
    <row r="16" spans="2:9" x14ac:dyDescent="0.25">
      <c r="B16" s="25">
        <v>41645</v>
      </c>
      <c r="C16" s="26" t="s">
        <v>3</v>
      </c>
      <c r="D16" s="24">
        <v>11020</v>
      </c>
      <c r="E16" s="20"/>
      <c r="F16" s="20"/>
      <c r="G16" s="20"/>
      <c r="H16" s="20"/>
      <c r="I16" s="20"/>
    </row>
    <row r="17" spans="2:9" x14ac:dyDescent="0.25">
      <c r="B17" s="25">
        <v>41645</v>
      </c>
      <c r="C17" s="26" t="s">
        <v>3</v>
      </c>
      <c r="D17" s="24">
        <v>78440</v>
      </c>
      <c r="E17" s="20"/>
      <c r="F17" s="20"/>
      <c r="G17" s="20"/>
      <c r="H17" s="20"/>
      <c r="I17" s="20"/>
    </row>
    <row r="18" spans="2:9" x14ac:dyDescent="0.25">
      <c r="B18" s="25">
        <v>41645</v>
      </c>
      <c r="C18" s="26" t="s">
        <v>3</v>
      </c>
      <c r="D18" s="24">
        <v>75300</v>
      </c>
      <c r="E18" s="20"/>
      <c r="F18" s="20"/>
      <c r="G18" s="20"/>
      <c r="H18" s="20"/>
      <c r="I18" s="20"/>
    </row>
    <row r="19" spans="2:9" x14ac:dyDescent="0.25">
      <c r="B19" s="25">
        <v>41996</v>
      </c>
      <c r="C19" s="26" t="s">
        <v>35</v>
      </c>
      <c r="D19" s="24">
        <v>11500</v>
      </c>
      <c r="E19" s="20"/>
      <c r="F19" s="20"/>
      <c r="G19" s="20"/>
      <c r="H19" s="20"/>
      <c r="I19" s="20"/>
    </row>
    <row r="20" spans="2:9" x14ac:dyDescent="0.25">
      <c r="B20" s="25">
        <v>41996</v>
      </c>
      <c r="C20" s="26" t="s">
        <v>34</v>
      </c>
      <c r="D20" s="24">
        <v>15500</v>
      </c>
      <c r="E20" s="20"/>
      <c r="F20" s="20"/>
      <c r="G20" s="20"/>
      <c r="H20" s="20"/>
      <c r="I20" s="20"/>
    </row>
    <row r="23" spans="2:9" x14ac:dyDescent="0.25">
      <c r="C23" s="21" t="s">
        <v>34</v>
      </c>
      <c r="D23" s="21" t="s">
        <v>33</v>
      </c>
      <c r="E23" s="21" t="s">
        <v>3</v>
      </c>
      <c r="F23" s="21" t="s">
        <v>32</v>
      </c>
      <c r="G23" s="21" t="s">
        <v>35</v>
      </c>
    </row>
    <row r="24" spans="2:9" x14ac:dyDescent="0.25">
      <c r="B24" s="22">
        <f>B4</f>
        <v>41862</v>
      </c>
      <c r="C24" s="23">
        <f t="array" ref="C24">SUM(($B24=$B$4:$B$20)*(C$23=$C$4:$C$20)*$D$4:$D$20)</f>
        <v>47620</v>
      </c>
      <c r="D24" s="23">
        <f t="array" ref="D24">SUM(($B24=$B$4:$B$20)*(D$23=$C$4:$C$20)*$D$4:$D$20)</f>
        <v>16950</v>
      </c>
      <c r="E24" s="23">
        <f t="array" ref="E24">SUM(($B24=$B$4:$B$20)*(E$23=$C$4:$C$20)*$D$4:$D$20)</f>
        <v>145500</v>
      </c>
      <c r="F24" s="23">
        <f t="array" ref="F24">SUM(($B24=$B$4:$B$20)*(F$23=$C$4:$C$20)*$D$4:$D$20)</f>
        <v>0</v>
      </c>
      <c r="G24" s="23">
        <f t="array" ref="G24">SUM(($B24=$B$4:$B$20)*(G$23=$C$4:$C$20)*$D$4:$D$20)</f>
        <v>0</v>
      </c>
    </row>
    <row r="25" spans="2:9" x14ac:dyDescent="0.25">
      <c r="B25" s="22">
        <f>B9</f>
        <v>41686</v>
      </c>
      <c r="C25" s="23">
        <f t="array" ref="C25">SUM(($B25=$B$4:$B$20)*(C$23=$C$4:$C$20)*$D$4:$D$20)</f>
        <v>0</v>
      </c>
      <c r="D25" s="23">
        <f t="array" ref="D25">SUM(($B25=$B$4:$B$20)*(D$23=$C$4:$C$20)*$D$4:$D$20)</f>
        <v>93750</v>
      </c>
      <c r="E25" s="23">
        <f t="array" ref="E25">SUM(($B25=$B$4:$B$20)*(E$23=$C$4:$C$20)*$D$4:$D$20)</f>
        <v>0</v>
      </c>
      <c r="F25" s="23">
        <f t="array" ref="F25">SUM(($B25=$B$4:$B$20)*(F$23=$C$4:$C$20)*$D$4:$D$20)</f>
        <v>0</v>
      </c>
      <c r="G25" s="23">
        <f t="array" ref="G25">SUM(($B25=$B$4:$B$20)*(G$23=$C$4:$C$20)*$D$4:$D$20)</f>
        <v>0</v>
      </c>
    </row>
    <row r="26" spans="2:9" x14ac:dyDescent="0.25">
      <c r="B26" s="22">
        <f>B16</f>
        <v>41645</v>
      </c>
      <c r="C26" s="23">
        <f t="array" ref="C26">SUM(($B26=$B$4:$B$20)*(C$23=$C$4:$C$20)*$D$4:$D$20)</f>
        <v>0</v>
      </c>
      <c r="D26" s="23">
        <f t="array" ref="D26">SUM(($B26=$B$4:$B$20)*(D$23=$C$4:$C$20)*$D$4:$D$20)</f>
        <v>0</v>
      </c>
      <c r="E26" s="23">
        <f t="array" ref="E26">SUM(($B26=$B$4:$B$20)*(E$23=$C$4:$C$20)*$D$4:$D$20)</f>
        <v>164760</v>
      </c>
      <c r="F26" s="23">
        <f t="array" ref="F26">SUM(($B26=$B$4:$B$20)*(F$23=$C$4:$C$20)*$D$4:$D$20)</f>
        <v>0</v>
      </c>
      <c r="G26" s="23">
        <f t="array" ref="G26">SUM(($B26=$B$4:$B$20)*(G$23=$C$4:$C$20)*$D$4:$D$20)</f>
        <v>0</v>
      </c>
    </row>
    <row r="27" spans="2:9" x14ac:dyDescent="0.25">
      <c r="B27" s="22">
        <f>B12</f>
        <v>41701</v>
      </c>
      <c r="C27" s="23">
        <f t="array" ref="C27">SUM(($B27=$B$4:$B$20)*(C$23=$C$4:$C$20)*$D$4:$D$20)</f>
        <v>0</v>
      </c>
      <c r="D27" s="23">
        <f t="array" ref="D27">SUM(($B27=$B$4:$B$20)*(D$23=$C$4:$C$20)*$D$4:$D$20)</f>
        <v>20000</v>
      </c>
      <c r="E27" s="23">
        <f t="array" ref="E27">SUM(($B27=$B$4:$B$20)*(E$23=$C$4:$C$20)*$D$4:$D$20)</f>
        <v>101500</v>
      </c>
      <c r="F27" s="23">
        <f t="array" ref="F27">SUM(($B27=$B$4:$B$20)*(F$23=$C$4:$C$20)*$D$4:$D$20)</f>
        <v>0</v>
      </c>
      <c r="G27" s="23">
        <f t="array" ref="G27">SUM(($B27=$B$4:$B$20)*(G$23=$C$4:$C$20)*$D$4:$D$20)</f>
        <v>0</v>
      </c>
    </row>
    <row r="28" spans="2:9" x14ac:dyDescent="0.25">
      <c r="B28" s="22">
        <f>B19</f>
        <v>41996</v>
      </c>
      <c r="C28" s="23">
        <f t="array" ref="C28">SUM(($B28=$B$4:$B$20)*(C$23=$C$4:$C$20)*$D$4:$D$20)</f>
        <v>15500</v>
      </c>
      <c r="D28" s="23">
        <f t="array" ref="D28">SUM(($B28=$B$4:$B$20)*(D$23=$C$4:$C$20)*$D$4:$D$20)</f>
        <v>0</v>
      </c>
      <c r="E28" s="23">
        <f t="array" ref="E28">SUM(($B28=$B$4:$B$20)*(E$23=$C$4:$C$20)*$D$4:$D$20)</f>
        <v>0</v>
      </c>
      <c r="F28" s="23">
        <f t="array" ref="F28">SUM(($B28=$B$4:$B$20)*(F$23=$C$4:$C$20)*$D$4:$D$20)</f>
        <v>0</v>
      </c>
      <c r="G28" s="23">
        <f t="array" ref="G28">SUM(($B28=$B$4:$B$20)*(G$23=$C$4:$C$20)*$D$4:$D$20)</f>
        <v>11500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4"/>
  <sheetViews>
    <sheetView showGridLines="0" zoomScale="90" zoomScaleNormal="90" workbookViewId="0">
      <selection activeCell="N32" sqref="N32"/>
    </sheetView>
  </sheetViews>
  <sheetFormatPr defaultRowHeight="15" x14ac:dyDescent="0.25"/>
  <cols>
    <col min="1" max="1" width="1.85546875" customWidth="1"/>
    <col min="2" max="2" width="11.42578125" customWidth="1"/>
    <col min="3" max="3" width="16.5703125" customWidth="1"/>
    <col min="4" max="4" width="16.42578125" customWidth="1"/>
    <col min="5" max="5" width="12.28515625" customWidth="1"/>
  </cols>
  <sheetData>
    <row r="1" spans="2:11" x14ac:dyDescent="0.25">
      <c r="B1" s="4"/>
      <c r="C1" s="4"/>
      <c r="D1" s="4"/>
      <c r="E1" s="4"/>
      <c r="F1" s="4"/>
      <c r="G1" s="4"/>
    </row>
    <row r="3" spans="2:11" ht="23.25" x14ac:dyDescent="0.35">
      <c r="C3" s="37" t="s">
        <v>75</v>
      </c>
    </row>
    <row r="5" spans="2:11" ht="15.75" x14ac:dyDescent="0.25">
      <c r="C5" s="42" t="s">
        <v>46</v>
      </c>
      <c r="D5" s="49" t="s">
        <v>57</v>
      </c>
      <c r="E5" s="50"/>
      <c r="F5" s="50"/>
      <c r="G5" s="50"/>
      <c r="H5" s="50"/>
      <c r="I5" s="50"/>
      <c r="J5" s="50"/>
      <c r="K5" s="51"/>
    </row>
    <row r="6" spans="2:11" ht="15.75" x14ac:dyDescent="0.25">
      <c r="C6" s="42" t="s">
        <v>47</v>
      </c>
      <c r="D6" s="49" t="s">
        <v>58</v>
      </c>
      <c r="E6" s="50"/>
      <c r="F6" s="50"/>
      <c r="G6" s="50"/>
      <c r="H6" s="50"/>
      <c r="I6" s="50"/>
      <c r="J6" s="50"/>
      <c r="K6" s="51"/>
    </row>
    <row r="7" spans="2:11" ht="15.75" x14ac:dyDescent="0.25">
      <c r="C7" s="42" t="s">
        <v>48</v>
      </c>
      <c r="D7" s="49" t="s">
        <v>76</v>
      </c>
      <c r="E7" s="50"/>
      <c r="F7" s="50"/>
      <c r="G7" s="50"/>
      <c r="H7" s="50"/>
      <c r="I7" s="50"/>
      <c r="J7" s="50"/>
      <c r="K7" s="51"/>
    </row>
    <row r="8" spans="2:11" ht="15.75" x14ac:dyDescent="0.25">
      <c r="C8" s="42" t="s">
        <v>49</v>
      </c>
      <c r="D8" s="49" t="s">
        <v>77</v>
      </c>
      <c r="E8" s="50"/>
      <c r="F8" s="50"/>
      <c r="G8" s="50"/>
      <c r="H8" s="50"/>
      <c r="I8" s="50"/>
      <c r="J8" s="50"/>
      <c r="K8" s="51"/>
    </row>
    <row r="9" spans="2:11" ht="15.75" x14ac:dyDescent="0.25">
      <c r="C9" s="42" t="s">
        <v>50</v>
      </c>
      <c r="D9" s="49" t="s">
        <v>82</v>
      </c>
      <c r="E9" s="50"/>
      <c r="F9" s="50"/>
      <c r="G9" s="50"/>
      <c r="H9" s="50"/>
      <c r="I9" s="50"/>
      <c r="J9" s="50"/>
      <c r="K9" s="51"/>
    </row>
    <row r="10" spans="2:11" ht="30" x14ac:dyDescent="0.25">
      <c r="C10" s="43"/>
      <c r="D10" s="46" t="s">
        <v>59</v>
      </c>
      <c r="E10" s="47" t="s">
        <v>83</v>
      </c>
    </row>
    <row r="11" spans="2:11" ht="15.75" x14ac:dyDescent="0.25">
      <c r="C11" s="44"/>
      <c r="D11" s="40">
        <v>1</v>
      </c>
      <c r="E11" s="38" t="s">
        <v>62</v>
      </c>
    </row>
    <row r="12" spans="2:11" ht="15.75" x14ac:dyDescent="0.25">
      <c r="C12" s="44"/>
      <c r="D12" s="41">
        <v>2</v>
      </c>
      <c r="E12" s="39" t="s">
        <v>60</v>
      </c>
    </row>
    <row r="13" spans="2:11" ht="15.75" x14ac:dyDescent="0.25">
      <c r="C13" s="44"/>
      <c r="D13" s="41">
        <v>3</v>
      </c>
      <c r="E13" s="39" t="s">
        <v>61</v>
      </c>
    </row>
    <row r="14" spans="2:11" ht="15.75" x14ac:dyDescent="0.25">
      <c r="C14" s="44"/>
      <c r="D14" s="41">
        <v>4</v>
      </c>
      <c r="E14" s="39" t="s">
        <v>63</v>
      </c>
    </row>
    <row r="15" spans="2:11" ht="15.75" x14ac:dyDescent="0.25">
      <c r="C15" s="44"/>
      <c r="D15" s="41">
        <v>5</v>
      </c>
      <c r="E15" s="39" t="s">
        <v>64</v>
      </c>
    </row>
    <row r="16" spans="2:11" ht="15.75" x14ac:dyDescent="0.25">
      <c r="C16" s="44"/>
      <c r="D16" s="41">
        <v>6</v>
      </c>
      <c r="E16" s="39" t="s">
        <v>65</v>
      </c>
    </row>
    <row r="17" spans="3:11" ht="15.75" x14ac:dyDescent="0.25">
      <c r="C17" s="44"/>
      <c r="D17" s="41">
        <v>7</v>
      </c>
      <c r="E17" s="39" t="s">
        <v>66</v>
      </c>
    </row>
    <row r="18" spans="3:11" ht="15.75" x14ac:dyDescent="0.25">
      <c r="C18" s="44"/>
      <c r="D18" s="41">
        <v>8</v>
      </c>
      <c r="E18" s="39" t="s">
        <v>67</v>
      </c>
    </row>
    <row r="19" spans="3:11" ht="15.75" x14ac:dyDescent="0.25">
      <c r="C19" s="44"/>
      <c r="D19" s="41">
        <v>9</v>
      </c>
      <c r="E19" s="39" t="s">
        <v>68</v>
      </c>
    </row>
    <row r="20" spans="3:11" ht="15.75" x14ac:dyDescent="0.25">
      <c r="C20" s="44"/>
      <c r="D20" s="41">
        <v>10</v>
      </c>
      <c r="E20" s="39" t="s">
        <v>69</v>
      </c>
    </row>
    <row r="21" spans="3:11" ht="15.75" x14ac:dyDescent="0.25">
      <c r="C21" s="45"/>
      <c r="D21" s="41">
        <v>11</v>
      </c>
      <c r="E21" s="39" t="s">
        <v>70</v>
      </c>
    </row>
    <row r="22" spans="3:11" ht="15.75" x14ac:dyDescent="0.25">
      <c r="C22" s="42" t="s">
        <v>51</v>
      </c>
      <c r="D22" s="49" t="s">
        <v>84</v>
      </c>
      <c r="E22" s="50"/>
      <c r="F22" s="50"/>
      <c r="G22" s="50"/>
      <c r="H22" s="50"/>
      <c r="I22" s="50"/>
      <c r="J22" s="50"/>
      <c r="K22" s="51"/>
    </row>
    <row r="23" spans="3:11" ht="15.75" x14ac:dyDescent="0.25">
      <c r="C23" s="42" t="s">
        <v>52</v>
      </c>
      <c r="D23" s="49" t="s">
        <v>85</v>
      </c>
      <c r="E23" s="50"/>
      <c r="F23" s="50"/>
      <c r="G23" s="50"/>
      <c r="H23" s="50"/>
      <c r="I23" s="50"/>
      <c r="J23" s="50"/>
      <c r="K23" s="51"/>
    </row>
    <row r="24" spans="3:11" ht="15.75" x14ac:dyDescent="0.25">
      <c r="C24" s="36"/>
      <c r="D24" s="48"/>
      <c r="E24" s="48"/>
      <c r="F24" s="48"/>
      <c r="G24" s="48"/>
      <c r="H24" s="48"/>
      <c r="I24" s="48"/>
      <c r="J24" s="48"/>
      <c r="K24" s="48"/>
    </row>
  </sheetData>
  <mergeCells count="7">
    <mergeCell ref="D23:K23"/>
    <mergeCell ref="D5:K5"/>
    <mergeCell ref="D6:K6"/>
    <mergeCell ref="D7:K7"/>
    <mergeCell ref="D8:K8"/>
    <mergeCell ref="D9:K9"/>
    <mergeCell ref="D22:K22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2"/>
  <sheetViews>
    <sheetView showGridLines="0" zoomScale="90" zoomScaleNormal="90" workbookViewId="0">
      <selection activeCell="G17" sqref="G17"/>
    </sheetView>
  </sheetViews>
  <sheetFormatPr defaultRowHeight="15" x14ac:dyDescent="0.25"/>
  <cols>
    <col min="1" max="1" width="1.85546875" customWidth="1"/>
    <col min="2" max="2" width="11.42578125" customWidth="1"/>
    <col min="3" max="3" width="16.5703125" customWidth="1"/>
    <col min="4" max="4" width="16.42578125" customWidth="1"/>
    <col min="5" max="5" width="12.28515625" customWidth="1"/>
  </cols>
  <sheetData>
    <row r="1" spans="2:11" x14ac:dyDescent="0.25">
      <c r="B1" s="4"/>
      <c r="C1" s="4"/>
      <c r="D1" s="4"/>
      <c r="E1" s="4"/>
      <c r="F1" s="4"/>
      <c r="G1" s="4"/>
    </row>
    <row r="2" spans="2:11" ht="15.75" x14ac:dyDescent="0.25">
      <c r="C2" s="36"/>
      <c r="D2" s="48"/>
      <c r="E2" s="48"/>
      <c r="F2" s="48"/>
      <c r="G2" s="48"/>
      <c r="H2" s="48"/>
      <c r="I2" s="48"/>
      <c r="J2" s="48"/>
      <c r="K2" s="48"/>
    </row>
    <row r="3" spans="2:11" ht="23.25" x14ac:dyDescent="0.35">
      <c r="C3" s="37" t="s">
        <v>53</v>
      </c>
      <c r="D3" s="48"/>
      <c r="E3" s="48"/>
      <c r="F3" s="48"/>
      <c r="G3" s="48"/>
      <c r="H3" s="48"/>
      <c r="I3" s="48"/>
      <c r="J3" s="48"/>
      <c r="K3" s="48"/>
    </row>
    <row r="4" spans="2:11" ht="15.75" x14ac:dyDescent="0.25">
      <c r="C4" s="42" t="s">
        <v>54</v>
      </c>
      <c r="D4" s="49" t="s">
        <v>78</v>
      </c>
      <c r="E4" s="50"/>
      <c r="F4" s="50"/>
      <c r="G4" s="50"/>
      <c r="H4" s="50"/>
      <c r="I4" s="50"/>
      <c r="J4" s="50"/>
      <c r="K4" s="51"/>
    </row>
    <row r="5" spans="2:11" ht="15.75" x14ac:dyDescent="0.25">
      <c r="C5" s="42" t="s">
        <v>55</v>
      </c>
      <c r="D5" s="49" t="s">
        <v>79</v>
      </c>
      <c r="E5" s="50"/>
      <c r="F5" s="50"/>
      <c r="G5" s="50"/>
      <c r="H5" s="50"/>
      <c r="I5" s="50"/>
      <c r="J5" s="50"/>
      <c r="K5" s="51"/>
    </row>
    <row r="6" spans="2:11" ht="15.75" x14ac:dyDescent="0.25">
      <c r="C6" s="42" t="s">
        <v>56</v>
      </c>
      <c r="D6" s="49" t="s">
        <v>80</v>
      </c>
      <c r="E6" s="50"/>
      <c r="F6" s="50"/>
      <c r="G6" s="50"/>
      <c r="H6" s="50"/>
      <c r="I6" s="50"/>
      <c r="J6" s="50"/>
      <c r="K6" s="51"/>
    </row>
    <row r="8" spans="2:11" ht="23.25" x14ac:dyDescent="0.35">
      <c r="C8" s="37" t="s">
        <v>81</v>
      </c>
    </row>
    <row r="9" spans="2:11" ht="15.75" x14ac:dyDescent="0.25">
      <c r="C9" s="42" t="s">
        <v>71</v>
      </c>
    </row>
    <row r="10" spans="2:11" ht="15.75" x14ac:dyDescent="0.25">
      <c r="C10" s="42" t="s">
        <v>72</v>
      </c>
    </row>
    <row r="11" spans="2:11" ht="15.75" x14ac:dyDescent="0.25">
      <c r="C11" s="42" t="s">
        <v>73</v>
      </c>
    </row>
    <row r="12" spans="2:11" ht="15.75" x14ac:dyDescent="0.25">
      <c r="C12" s="42" t="s">
        <v>74</v>
      </c>
    </row>
  </sheetData>
  <mergeCells count="3">
    <mergeCell ref="D4:K4"/>
    <mergeCell ref="D5:K5"/>
    <mergeCell ref="D6:K6"/>
  </mergeCell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6"/>
  <sheetViews>
    <sheetView showGridLines="0" zoomScale="90" zoomScaleNormal="90" workbookViewId="0">
      <selection sqref="A1:XFD1048576"/>
    </sheetView>
  </sheetViews>
  <sheetFormatPr defaultRowHeight="15" x14ac:dyDescent="0.25"/>
  <cols>
    <col min="1" max="1" width="3.140625" customWidth="1"/>
    <col min="2" max="2" width="17.85546875" customWidth="1"/>
    <col min="3" max="3" width="12.7109375" customWidth="1"/>
    <col min="4" max="4" width="11.85546875" bestFit="1" customWidth="1"/>
    <col min="5" max="5" width="12" bestFit="1" customWidth="1"/>
    <col min="6" max="6" width="12.7109375" bestFit="1" customWidth="1"/>
    <col min="7" max="7" width="12" bestFit="1" customWidth="1"/>
    <col min="8" max="8" width="12.85546875" bestFit="1" customWidth="1"/>
    <col min="9" max="9" width="11.85546875" bestFit="1" customWidth="1"/>
    <col min="10" max="10" width="11.42578125" bestFit="1" customWidth="1"/>
    <col min="11" max="11" width="12.140625" bestFit="1" customWidth="1"/>
    <col min="12" max="13" width="12" bestFit="1" customWidth="1"/>
    <col min="14" max="14" width="12.42578125" bestFit="1" customWidth="1"/>
    <col min="15" max="15" width="12.140625" bestFit="1" customWidth="1"/>
  </cols>
  <sheetData>
    <row r="2" spans="2:15" x14ac:dyDescent="0.25">
      <c r="B2" s="28" t="s">
        <v>36</v>
      </c>
      <c r="C2" s="35"/>
      <c r="D2" s="27">
        <v>41640</v>
      </c>
      <c r="E2" s="27">
        <f>D3+1</f>
        <v>41671</v>
      </c>
      <c r="F2" s="27">
        <f t="shared" ref="F2:O2" si="0">E3+1</f>
        <v>41699</v>
      </c>
      <c r="G2" s="27">
        <f t="shared" si="0"/>
        <v>41730</v>
      </c>
      <c r="H2" s="27">
        <f t="shared" si="0"/>
        <v>41760</v>
      </c>
      <c r="I2" s="27">
        <f t="shared" si="0"/>
        <v>41791</v>
      </c>
      <c r="J2" s="27">
        <f t="shared" si="0"/>
        <v>41821</v>
      </c>
      <c r="K2" s="27">
        <f t="shared" si="0"/>
        <v>41852</v>
      </c>
      <c r="L2" s="27">
        <f t="shared" si="0"/>
        <v>41883</v>
      </c>
      <c r="M2" s="27">
        <f t="shared" si="0"/>
        <v>41913</v>
      </c>
      <c r="N2" s="27">
        <f t="shared" si="0"/>
        <v>41944</v>
      </c>
      <c r="O2" s="27">
        <f t="shared" si="0"/>
        <v>41974</v>
      </c>
    </row>
    <row r="3" spans="2:15" x14ac:dyDescent="0.25">
      <c r="B3" s="28" t="s">
        <v>37</v>
      </c>
      <c r="C3" s="35"/>
      <c r="D3" s="27">
        <f>EOMONTH(D2,0)</f>
        <v>41670</v>
      </c>
      <c r="E3" s="27">
        <f>EOMONTH(E2,0)</f>
        <v>41698</v>
      </c>
      <c r="F3" s="27">
        <f t="shared" ref="F3:O3" si="1">EOMONTH(F2,0)</f>
        <v>41729</v>
      </c>
      <c r="G3" s="27">
        <f t="shared" si="1"/>
        <v>41759</v>
      </c>
      <c r="H3" s="27">
        <f t="shared" si="1"/>
        <v>41790</v>
      </c>
      <c r="I3" s="27">
        <f t="shared" si="1"/>
        <v>41820</v>
      </c>
      <c r="J3" s="27">
        <f t="shared" si="1"/>
        <v>41851</v>
      </c>
      <c r="K3" s="27">
        <f t="shared" si="1"/>
        <v>41882</v>
      </c>
      <c r="L3" s="27">
        <f t="shared" si="1"/>
        <v>41912</v>
      </c>
      <c r="M3" s="27">
        <f t="shared" si="1"/>
        <v>41943</v>
      </c>
      <c r="N3" s="27">
        <f t="shared" si="1"/>
        <v>41973</v>
      </c>
      <c r="O3" s="27">
        <f t="shared" si="1"/>
        <v>42004</v>
      </c>
    </row>
    <row r="4" spans="2:15" x14ac:dyDescent="0.25">
      <c r="B4" s="28" t="s">
        <v>42</v>
      </c>
      <c r="C4" s="35"/>
      <c r="D4" s="32">
        <v>36000</v>
      </c>
      <c r="E4" s="32">
        <f>D4+4</f>
        <v>36004</v>
      </c>
      <c r="F4" s="32">
        <f>E4-3</f>
        <v>36001</v>
      </c>
      <c r="G4" s="32">
        <f t="shared" ref="G4:O4" si="2">F4+1</f>
        <v>36002</v>
      </c>
      <c r="H4" s="32">
        <f>G4+8</f>
        <v>36010</v>
      </c>
      <c r="I4" s="32">
        <f>H4-7</f>
        <v>36003</v>
      </c>
      <c r="J4" s="32">
        <f>I4-9</f>
        <v>35994</v>
      </c>
      <c r="K4" s="32">
        <f>J4+4</f>
        <v>35998</v>
      </c>
      <c r="L4" s="32">
        <f>K4-7</f>
        <v>35991</v>
      </c>
      <c r="M4" s="32">
        <f>L4+2</f>
        <v>35993</v>
      </c>
      <c r="N4" s="32">
        <f>M4-3</f>
        <v>35990</v>
      </c>
      <c r="O4" s="32">
        <f t="shared" si="2"/>
        <v>35991</v>
      </c>
    </row>
    <row r="5" spans="2:15" x14ac:dyDescent="0.25">
      <c r="B5" s="28" t="s">
        <v>43</v>
      </c>
      <c r="C5" s="35"/>
      <c r="D5" s="32">
        <v>36000</v>
      </c>
      <c r="E5" s="32">
        <v>36003</v>
      </c>
      <c r="F5" s="32">
        <v>36001</v>
      </c>
      <c r="G5" s="32">
        <f>G4</f>
        <v>36002</v>
      </c>
      <c r="H5" s="32">
        <f t="shared" ref="H5:O5" si="3">H4</f>
        <v>36010</v>
      </c>
      <c r="I5" s="32">
        <f t="shared" si="3"/>
        <v>36003</v>
      </c>
      <c r="J5" s="32">
        <f t="shared" si="3"/>
        <v>35994</v>
      </c>
      <c r="K5" s="32">
        <f t="shared" si="3"/>
        <v>35998</v>
      </c>
      <c r="L5" s="32">
        <f t="shared" si="3"/>
        <v>35991</v>
      </c>
      <c r="M5" s="32">
        <f t="shared" si="3"/>
        <v>35993</v>
      </c>
      <c r="N5" s="32">
        <f t="shared" si="3"/>
        <v>35990</v>
      </c>
      <c r="O5" s="32">
        <f t="shared" si="3"/>
        <v>35991</v>
      </c>
    </row>
    <row r="6" spans="2:15" x14ac:dyDescent="0.25">
      <c r="B6" s="31" t="s">
        <v>44</v>
      </c>
      <c r="C6" s="31" t="b">
        <f>SUM(D6:O6)=0</f>
        <v>0</v>
      </c>
      <c r="D6" s="34">
        <f>D4-D5</f>
        <v>0</v>
      </c>
      <c r="E6" s="34">
        <f t="shared" ref="E6:O6" si="4">E4-E5</f>
        <v>1</v>
      </c>
      <c r="F6" s="34">
        <f t="shared" si="4"/>
        <v>0</v>
      </c>
      <c r="G6" s="34">
        <f t="shared" si="4"/>
        <v>0</v>
      </c>
      <c r="H6" s="34">
        <f t="shared" si="4"/>
        <v>0</v>
      </c>
      <c r="I6" s="34">
        <f t="shared" si="4"/>
        <v>0</v>
      </c>
      <c r="J6" s="34">
        <f t="shared" si="4"/>
        <v>0</v>
      </c>
      <c r="K6" s="34">
        <f t="shared" si="4"/>
        <v>0</v>
      </c>
      <c r="L6" s="34">
        <f t="shared" si="4"/>
        <v>0</v>
      </c>
      <c r="M6" s="34">
        <f t="shared" si="4"/>
        <v>0</v>
      </c>
      <c r="N6" s="34">
        <f t="shared" si="4"/>
        <v>0</v>
      </c>
      <c r="O6" s="34">
        <f t="shared" si="4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6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3.140625" customWidth="1"/>
    <col min="2" max="2" width="17.85546875" customWidth="1"/>
    <col min="3" max="3" width="11.85546875" bestFit="1" customWidth="1"/>
    <col min="4" max="4" width="12" bestFit="1" customWidth="1"/>
    <col min="5" max="5" width="12.7109375" bestFit="1" customWidth="1"/>
    <col min="6" max="6" width="12" bestFit="1" customWidth="1"/>
    <col min="7" max="7" width="12.85546875" bestFit="1" customWidth="1"/>
    <col min="8" max="8" width="11.85546875" bestFit="1" customWidth="1"/>
    <col min="9" max="9" width="11.42578125" bestFit="1" customWidth="1"/>
    <col min="10" max="10" width="12.140625" bestFit="1" customWidth="1"/>
    <col min="11" max="12" width="12" bestFit="1" customWidth="1"/>
    <col min="13" max="13" width="12.42578125" bestFit="1" customWidth="1"/>
    <col min="14" max="14" width="12.140625" bestFit="1" customWidth="1"/>
  </cols>
  <sheetData>
    <row r="2" spans="2:14" x14ac:dyDescent="0.25">
      <c r="B2" s="28" t="s">
        <v>36</v>
      </c>
      <c r="C2" s="27">
        <v>41640</v>
      </c>
      <c r="D2" s="27">
        <f>C3+1</f>
        <v>41671</v>
      </c>
      <c r="E2" s="27">
        <f t="shared" ref="E2:N2" si="0">D3+1</f>
        <v>41699</v>
      </c>
      <c r="F2" s="27">
        <f t="shared" si="0"/>
        <v>41730</v>
      </c>
      <c r="G2" s="27">
        <f t="shared" si="0"/>
        <v>41760</v>
      </c>
      <c r="H2" s="27">
        <f t="shared" si="0"/>
        <v>41791</v>
      </c>
      <c r="I2" s="27">
        <f t="shared" si="0"/>
        <v>41821</v>
      </c>
      <c r="J2" s="27">
        <f t="shared" si="0"/>
        <v>41852</v>
      </c>
      <c r="K2" s="27">
        <f t="shared" si="0"/>
        <v>41883</v>
      </c>
      <c r="L2" s="27">
        <f t="shared" si="0"/>
        <v>41913</v>
      </c>
      <c r="M2" s="27">
        <f t="shared" si="0"/>
        <v>41944</v>
      </c>
      <c r="N2" s="27">
        <f t="shared" si="0"/>
        <v>41974</v>
      </c>
    </row>
    <row r="3" spans="2:14" x14ac:dyDescent="0.25">
      <c r="B3" s="28" t="s">
        <v>37</v>
      </c>
      <c r="C3" s="27">
        <f>EOMONTH(C2,0)</f>
        <v>41670</v>
      </c>
      <c r="D3" s="27">
        <f>EOMONTH(D2,0)</f>
        <v>41698</v>
      </c>
      <c r="E3" s="27">
        <f t="shared" ref="E3:N3" si="1">EOMONTH(E2,0)</f>
        <v>41729</v>
      </c>
      <c r="F3" s="27">
        <f t="shared" si="1"/>
        <v>41759</v>
      </c>
      <c r="G3" s="27">
        <f t="shared" si="1"/>
        <v>41790</v>
      </c>
      <c r="H3" s="27">
        <f t="shared" si="1"/>
        <v>41820</v>
      </c>
      <c r="I3" s="27">
        <f t="shared" si="1"/>
        <v>41851</v>
      </c>
      <c r="J3" s="27">
        <f t="shared" si="1"/>
        <v>41882</v>
      </c>
      <c r="K3" s="27">
        <f t="shared" si="1"/>
        <v>41912</v>
      </c>
      <c r="L3" s="27">
        <f t="shared" si="1"/>
        <v>41943</v>
      </c>
      <c r="M3" s="27">
        <f t="shared" si="1"/>
        <v>41973</v>
      </c>
      <c r="N3" s="27">
        <f t="shared" si="1"/>
        <v>42004</v>
      </c>
    </row>
    <row r="4" spans="2:14" x14ac:dyDescent="0.25">
      <c r="B4" s="28" t="s">
        <v>45</v>
      </c>
      <c r="C4" s="32">
        <v>12</v>
      </c>
      <c r="D4" s="32">
        <f>C4+4</f>
        <v>16</v>
      </c>
      <c r="E4" s="32">
        <f>D4-3</f>
        <v>13</v>
      </c>
      <c r="F4" s="32">
        <f t="shared" ref="F4:N4" si="2">E4+1</f>
        <v>14</v>
      </c>
      <c r="G4" s="32">
        <f>F4+8</f>
        <v>22</v>
      </c>
      <c r="H4" s="32">
        <f>G4-7</f>
        <v>15</v>
      </c>
      <c r="I4" s="32">
        <f>H4-9</f>
        <v>6</v>
      </c>
      <c r="J4" s="32">
        <f>I4+4</f>
        <v>10</v>
      </c>
      <c r="K4" s="32">
        <f>J4-7</f>
        <v>3</v>
      </c>
      <c r="L4" s="32">
        <f>K4+2</f>
        <v>5</v>
      </c>
      <c r="M4" s="32">
        <f>L4-3</f>
        <v>2</v>
      </c>
      <c r="N4" s="32">
        <f t="shared" si="2"/>
        <v>3</v>
      </c>
    </row>
    <row r="5" spans="2:14" x14ac:dyDescent="0.25">
      <c r="B5" s="28" t="s">
        <v>40</v>
      </c>
      <c r="C5" s="32">
        <v>-12</v>
      </c>
      <c r="D5" s="32">
        <v>-22</v>
      </c>
      <c r="E5" s="32">
        <v>-23</v>
      </c>
      <c r="F5" s="32">
        <v>-19</v>
      </c>
      <c r="G5" s="32">
        <v>-16</v>
      </c>
      <c r="H5" s="32">
        <v>-18</v>
      </c>
      <c r="I5" s="32">
        <v>-24</v>
      </c>
      <c r="J5" s="32">
        <v>-23</v>
      </c>
      <c r="K5" s="32">
        <v>-30</v>
      </c>
      <c r="L5" s="32">
        <v>-28</v>
      </c>
      <c r="M5" s="32">
        <v>-43</v>
      </c>
      <c r="N5" s="32">
        <v>-41</v>
      </c>
    </row>
    <row r="6" spans="2:14" x14ac:dyDescent="0.25">
      <c r="B6" s="28" t="s">
        <v>41</v>
      </c>
      <c r="C6" s="33">
        <f>ABS(C4)+ABS(C5)</f>
        <v>24</v>
      </c>
      <c r="D6" s="33">
        <f t="shared" ref="D6:N6" si="3">ABS(D4)+ABS(D5)</f>
        <v>38</v>
      </c>
      <c r="E6" s="33">
        <f t="shared" si="3"/>
        <v>36</v>
      </c>
      <c r="F6" s="33">
        <f t="shared" si="3"/>
        <v>33</v>
      </c>
      <c r="G6" s="33">
        <f t="shared" si="3"/>
        <v>38</v>
      </c>
      <c r="H6" s="33">
        <f t="shared" si="3"/>
        <v>33</v>
      </c>
      <c r="I6" s="33">
        <f t="shared" si="3"/>
        <v>30</v>
      </c>
      <c r="J6" s="33">
        <f t="shared" si="3"/>
        <v>33</v>
      </c>
      <c r="K6" s="33">
        <f t="shared" si="3"/>
        <v>33</v>
      </c>
      <c r="L6" s="33">
        <f t="shared" si="3"/>
        <v>33</v>
      </c>
      <c r="M6" s="33">
        <f t="shared" si="3"/>
        <v>45</v>
      </c>
      <c r="N6" s="33">
        <f t="shared" si="3"/>
        <v>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5"/>
  <sheetViews>
    <sheetView showGridLines="0" zoomScale="90" zoomScaleNormal="90" workbookViewId="0">
      <selection sqref="A1:XFD1048576"/>
    </sheetView>
  </sheetViews>
  <sheetFormatPr defaultRowHeight="15" x14ac:dyDescent="0.25"/>
  <cols>
    <col min="1" max="1" width="3.140625" customWidth="1"/>
    <col min="2" max="2" width="17.85546875" customWidth="1"/>
    <col min="3" max="3" width="11.85546875" bestFit="1" customWidth="1"/>
    <col min="4" max="4" width="12" bestFit="1" customWidth="1"/>
    <col min="5" max="5" width="12.7109375" bestFit="1" customWidth="1"/>
    <col min="6" max="6" width="12" bestFit="1" customWidth="1"/>
    <col min="7" max="7" width="12.85546875" bestFit="1" customWidth="1"/>
    <col min="8" max="8" width="11.85546875" bestFit="1" customWidth="1"/>
    <col min="9" max="9" width="11.42578125" bestFit="1" customWidth="1"/>
    <col min="10" max="10" width="12.140625" bestFit="1" customWidth="1"/>
    <col min="11" max="12" width="12" bestFit="1" customWidth="1"/>
    <col min="13" max="13" width="12.42578125" bestFit="1" customWidth="1"/>
    <col min="14" max="14" width="12.140625" bestFit="1" customWidth="1"/>
  </cols>
  <sheetData>
    <row r="2" spans="2:14" x14ac:dyDescent="0.25">
      <c r="B2" s="28" t="s">
        <v>36</v>
      </c>
      <c r="C2" s="27">
        <v>41640</v>
      </c>
      <c r="D2" s="27">
        <f>C3+1</f>
        <v>41671</v>
      </c>
      <c r="E2" s="27">
        <f t="shared" ref="E2:N2" si="0">D3+1</f>
        <v>41699</v>
      </c>
      <c r="F2" s="27">
        <f t="shared" si="0"/>
        <v>41730</v>
      </c>
      <c r="G2" s="27">
        <f t="shared" si="0"/>
        <v>41760</v>
      </c>
      <c r="H2" s="27">
        <f t="shared" si="0"/>
        <v>41791</v>
      </c>
      <c r="I2" s="27">
        <f t="shared" si="0"/>
        <v>41821</v>
      </c>
      <c r="J2" s="27">
        <f t="shared" si="0"/>
        <v>41852</v>
      </c>
      <c r="K2" s="27">
        <f t="shared" si="0"/>
        <v>41883</v>
      </c>
      <c r="L2" s="27">
        <f t="shared" si="0"/>
        <v>41913</v>
      </c>
      <c r="M2" s="27">
        <f t="shared" si="0"/>
        <v>41944</v>
      </c>
      <c r="N2" s="27">
        <f t="shared" si="0"/>
        <v>41974</v>
      </c>
    </row>
    <row r="3" spans="2:14" x14ac:dyDescent="0.25">
      <c r="B3" s="28" t="s">
        <v>37</v>
      </c>
      <c r="C3" s="27">
        <f>EOMONTH(C2,0)</f>
        <v>41670</v>
      </c>
      <c r="D3" s="27">
        <f>EOMONTH(D2,0)</f>
        <v>41698</v>
      </c>
      <c r="E3" s="27">
        <f t="shared" ref="E3:L3" si="1">EOMONTH(E2,0)</f>
        <v>41729</v>
      </c>
      <c r="F3" s="27">
        <f t="shared" si="1"/>
        <v>41759</v>
      </c>
      <c r="G3" s="27">
        <f t="shared" si="1"/>
        <v>41790</v>
      </c>
      <c r="H3" s="27">
        <f t="shared" si="1"/>
        <v>41820</v>
      </c>
      <c r="I3" s="27">
        <f t="shared" si="1"/>
        <v>41851</v>
      </c>
      <c r="J3" s="27">
        <f t="shared" si="1"/>
        <v>41882</v>
      </c>
      <c r="K3" s="27">
        <f t="shared" si="1"/>
        <v>41912</v>
      </c>
      <c r="L3" s="27">
        <f t="shared" si="1"/>
        <v>41943</v>
      </c>
      <c r="M3" s="27">
        <f t="shared" ref="M3" si="2">EOMONTH(M2,0)</f>
        <v>41973</v>
      </c>
      <c r="N3" s="27">
        <f t="shared" ref="N3" si="3">EOMONTH(N2,0)</f>
        <v>42004</v>
      </c>
    </row>
    <row r="4" spans="2:14" x14ac:dyDescent="0.25">
      <c r="B4" s="28" t="s">
        <v>38</v>
      </c>
      <c r="C4" s="29">
        <v>1</v>
      </c>
      <c r="D4" s="30">
        <f>C4+1</f>
        <v>2</v>
      </c>
      <c r="E4" s="30">
        <f t="shared" ref="E4:L4" si="4">D4+1</f>
        <v>3</v>
      </c>
      <c r="F4" s="30">
        <f t="shared" si="4"/>
        <v>4</v>
      </c>
      <c r="G4" s="30">
        <f t="shared" si="4"/>
        <v>5</v>
      </c>
      <c r="H4" s="30">
        <f t="shared" si="4"/>
        <v>6</v>
      </c>
      <c r="I4" s="30">
        <f t="shared" si="4"/>
        <v>7</v>
      </c>
      <c r="J4" s="30">
        <f t="shared" si="4"/>
        <v>8</v>
      </c>
      <c r="K4" s="30">
        <f t="shared" si="4"/>
        <v>9</v>
      </c>
      <c r="L4" s="30">
        <f t="shared" si="4"/>
        <v>10</v>
      </c>
      <c r="M4" s="30">
        <f t="shared" ref="M4:N4" si="5">L4+1</f>
        <v>11</v>
      </c>
      <c r="N4" s="30">
        <f t="shared" si="5"/>
        <v>12</v>
      </c>
    </row>
    <row r="5" spans="2:14" x14ac:dyDescent="0.25">
      <c r="B5" s="28" t="s">
        <v>39</v>
      </c>
      <c r="C5" s="30">
        <f>IF(MOD(C4,12)=0,12,MOD(C4,12))</f>
        <v>1</v>
      </c>
      <c r="D5" s="30">
        <f t="shared" ref="D5:N5" si="6">IF(MOD(D4,12)=0,12,MOD(D4,12))</f>
        <v>2</v>
      </c>
      <c r="E5" s="30">
        <f t="shared" si="6"/>
        <v>3</v>
      </c>
      <c r="F5" s="30">
        <f t="shared" si="6"/>
        <v>4</v>
      </c>
      <c r="G5" s="30">
        <f t="shared" si="6"/>
        <v>5</v>
      </c>
      <c r="H5" s="30">
        <f t="shared" si="6"/>
        <v>6</v>
      </c>
      <c r="I5" s="30">
        <f t="shared" si="6"/>
        <v>7</v>
      </c>
      <c r="J5" s="30">
        <f t="shared" si="6"/>
        <v>8</v>
      </c>
      <c r="K5" s="30">
        <f t="shared" si="6"/>
        <v>9</v>
      </c>
      <c r="L5" s="30">
        <f t="shared" si="6"/>
        <v>10</v>
      </c>
      <c r="M5" s="30">
        <f t="shared" si="6"/>
        <v>11</v>
      </c>
      <c r="N5" s="30">
        <f t="shared" si="6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Figure 12-1</vt:lpstr>
      <vt:lpstr>Figure 12-2</vt:lpstr>
      <vt:lpstr>Figure 12-3</vt:lpstr>
      <vt:lpstr>Figure 12-4</vt:lpstr>
      <vt:lpstr>Figure 12-4a</vt:lpstr>
      <vt:lpstr>Figure 12-4b</vt:lpstr>
      <vt:lpstr>Figure 12-5</vt:lpstr>
      <vt:lpstr>Figure 12-6</vt:lpstr>
      <vt:lpstr>Figure 12-7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2013-06-27T08:02:59Z</dcterms:created>
  <dcterms:modified xsi:type="dcterms:W3CDTF">2013-10-14T18:36:59Z</dcterms:modified>
</cp:coreProperties>
</file>